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tings" sheetId="2" state="visible" r:id="rId4"/>
    <sheet name="Vinegar Bath" sheetId="3" state="visible" r:id="rId5"/>
    <sheet name="Teriyaki Jerky" sheetId="4" state="visible" r:id="rId6"/>
    <sheet name="Gochujangh Jerky" sheetId="5" state="visible" r:id="rId7"/>
    <sheet name="Pepper Jerky" sheetId="6" state="visible" r:id="rId8"/>
    <sheet name="Karnatka Nati Jerky" sheetId="7" state="visible" r:id="rId9"/>
    <sheet name="Kerala fry Jerky" sheetId="8" state="visible" r:id="rId10"/>
    <sheet name="Mughlai Jerky" sheetId="9" state="visible" r:id="rId11"/>
    <sheet name="Masala Jerky" sheetId="10" state="visible" r:id="rId12"/>
    <sheet name="Summary" sheetId="11" state="visible" r:id="rId13"/>
    <sheet name="Ingredients" sheetId="12" state="visible" r:id="rId14"/>
  </sheets>
  <definedNames>
    <definedName function="false" hidden="false" localSheetId="4" name="_xlnm.Print_Area" vbProcedure="false">'Gochujangh Jerky'!$A$1:$H$54</definedName>
    <definedName function="false" hidden="false" localSheetId="6" name="_xlnm.Print_Area" vbProcedure="false">'Karnatka Nati Jerky'!$A$1:$H$54</definedName>
    <definedName function="false" hidden="false" localSheetId="7" name="_xlnm.Print_Area" vbProcedure="false">'Kerala fry Jerky'!$A$1:$H$54</definedName>
    <definedName function="false" hidden="false" localSheetId="9" name="_xlnm.Print_Area" vbProcedure="false">'Masala Jerky'!$A$1:$H$54</definedName>
    <definedName function="false" hidden="false" localSheetId="8" name="_xlnm.Print_Area" vbProcedure="false">'Mughlai Jerky'!$A$1:$H$54</definedName>
    <definedName function="false" hidden="false" localSheetId="5" name="_xlnm.Print_Area" vbProcedure="false">'Pepper Jerky'!$A$1:$H$54</definedName>
    <definedName function="false" hidden="false" localSheetId="3" name="_xlnm.Print_Area" vbProcedure="false">'Teriyaki Jerky'!$A$1:$H$54</definedName>
    <definedName function="false" hidden="false" localSheetId="2" name="_xlnm.Print_Area" vbProcedure="false">'Vinegar Bath'!$A$1:$H$54</definedName>
    <definedName function="false" hidden="false" name="IngredientList" vbProcedure="false">Ingredients!$A$5:$A$50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<sst xmlns="http://schemas.openxmlformats.org/spreadsheetml/2006/main" count="297" uniqueCount="137">
  <si>
    <t xml:space="preserve">DOKI recipe workbook</t>
  </si>
  <si>
    <t xml:space="preserve">One sheet per recipe. Weights are grams per 1 kg of meat.</t>
  </si>
  <si>
    <t xml:space="preserve">How to use</t>
  </si>
  <si>
    <t xml:space="preserve">Open the sheet for a recipe. In the shaded columns type the ingredient name and how many grams of it go into 1 kg of meat. That is all.</t>
  </si>
  <si>
    <t xml:space="preserve">Everything to the right calculates itself: the percentage, the target for a typical batch, which scale should weigh it, and the tolerance that scale can actually hold.</t>
  </si>
  <si>
    <t xml:space="preserve">What the colours mean</t>
  </si>
  <si>
    <t xml:space="preserve">Shaded cells are yours to type in. Everything else is a formula — overwriting one breaks that row.</t>
  </si>
  <si>
    <t xml:space="preserve">A red row means neither scale can weigh that ingredient at this batch size. Split it, premix it, or make the batch bigger.</t>
  </si>
  <si>
    <t xml:space="preserve">An amber row is fine to run, but the scale's resolution is coarser than the recipe's percentage, so it is held to a looser band. The Note column says so.</t>
  </si>
  <si>
    <t xml:space="preserve">Which scale gets what</t>
  </si>
  <si>
    <t xml:space="preserve">The floor scale reads in 5 g steps. Two of those have to fit inside the tolerance before it is enforcing anything, so it only handles targets above 500 g — that is 2 × 5 g ÷ 2 %, on the Settings sheet. Everything smaller goes on the bench scale.</t>
  </si>
  <si>
    <t xml:space="preserve">Change the tolerance percentage or either scale's division on the Settings sheet and all seven recipes re-evaluate.</t>
  </si>
  <si>
    <t xml:space="preserve">About the Teriyaki sheet</t>
  </si>
  <si>
    <t xml:space="preserve">Filled in from 'Recipes for Yield calculation - Teriyaki.csv', using its column 6, which is already grams per 1 kg of meat.</t>
  </si>
  <si>
    <t xml:space="preserve">Two spellings were normalised so the ingredient list stays consistent: 'seasame seed' → 'Sesame seed', and capitalisation made uniform.</t>
  </si>
  <si>
    <t xml:space="preserve">Liquid smoke is in the source sheet with a quantity of 0, so it shows as unweighable here. Either give it a quantity or delete the row.</t>
  </si>
  <si>
    <t xml:space="preserve">The very small spices are below what a floor scale can see. The costing sheet treats the marinade as one premixed line at 255 g per kg of meat, and that is how the station should weigh it too — premix the marinade on the bench scale, then add it as a single ingredient.</t>
  </si>
  <si>
    <t xml:space="preserve">The other six recipes</t>
  </si>
  <si>
    <t xml:space="preserve">Gochujang, Pepper, Nati, Kerela Fry, Mughlai and Masala are set up but empty — the formulas are already in every row. Each has one grey example row showing the format; type over it.</t>
  </si>
  <si>
    <t xml:space="preserve">Feeding the station</t>
  </si>
  <si>
    <t xml:space="preserve">Run  python3 xlsx_to_recipes.py DOKI-Recipes.xlsx  to turn this workbook into the recipes.json the panel reads. It refuses to write a recipe that still has an unweighable ingredient or an untouched example row.</t>
  </si>
  <si>
    <t xml:space="preserve">Settings</t>
  </si>
  <si>
    <t xml:space="preserve">These drive every recipe sheet. Change a number here and all seven recipes re-evaluate.</t>
  </si>
  <si>
    <t xml:space="preserve">Tolerance (percent of target)</t>
  </si>
  <si>
    <t xml:space="preserve">What the recipe asks for. The station uses this too.</t>
  </si>
  <si>
    <t xml:space="preserve">MAIN SCALE — name</t>
  </si>
  <si>
    <t xml:space="preserve">Floor scale</t>
  </si>
  <si>
    <t xml:space="preserve">  division (g)</t>
  </si>
  <si>
    <t xml:space="preserve">Smallest step it reads. From the RS232 frame resolution.</t>
  </si>
  <si>
    <t xml:space="preserve">  capacity (g)</t>
  </si>
  <si>
    <t xml:space="preserve">  usable (g)</t>
  </si>
  <si>
    <t xml:space="preserve">Capacity less the tub's tare.</t>
  </si>
  <si>
    <t xml:space="preserve">SMALL SCALE — name</t>
  </si>
  <si>
    <t xml:space="preserve">Bench scale</t>
  </si>
  <si>
    <t xml:space="preserve">SPEC NOT CONFIRMED — check the label on the scale.</t>
  </si>
  <si>
    <t xml:space="preserve">SPEC NOT CONFIRMED.</t>
  </si>
  <si>
    <t xml:space="preserve">Capacity less the tare of the container you weigh into.</t>
  </si>
  <si>
    <t xml:space="preserve">Crossover — derived</t>
  </si>
  <si>
    <t xml:space="preserve">Below this the main scale cannot hold the tolerance: two of its divisions no longer fit inside the percentage.</t>
  </si>
  <si>
    <t xml:space="preserve">Crossover — override</t>
  </si>
  <si>
    <t xml:space="preserve">Optional. Leave blank to use the derived value. A lower number keeps more ingredients on the floor scale — easier to pour into, looser tolerance, and the recipe sheets say which.</t>
  </si>
  <si>
    <t xml:space="preserve">Crossover in force (g)</t>
  </si>
  <si>
    <t xml:space="preserve">Dead zone check</t>
  </si>
  <si>
    <t xml:space="preserve">Vinegar Bath</t>
  </si>
  <si>
    <t xml:space="preserve">Type in the shaded cells only. Weights are GRAMS PER 1 KG OF MEAT. Everything to the right is calculated.</t>
  </si>
  <si>
    <t xml:space="preserve">Batch base weight (g)</t>
  </si>
  <si>
    <t xml:space="preserve">A typical batch. Only the Target / Weigh-on / Tolerance columns use it — the station recomputes them from the meat it actually weighs.</t>
  </si>
  <si>
    <t xml:space="preserve">Product ID</t>
  </si>
  <si>
    <t xml:space="preserve">vinegar_bath</t>
  </si>
  <si>
    <t xml:space="preserve">Bases this applies to</t>
  </si>
  <si>
    <t xml:space="preserve">chicken, pork, beef, mutton, fish</t>
  </si>
  <si>
    <t xml:space="preserve">Flour ingredient</t>
  </si>
  <si>
    <t xml:space="preserve">Water ingredient</t>
  </si>
  <si>
    <t xml:space="preserve">Meat</t>
  </si>
  <si>
    <t xml:space="preserve">Which animal this product is made from. The operator is not asked — the product implies it. Leave blank if undecided.</t>
  </si>
  <si>
    <t xml:space="preserve">#</t>
  </si>
  <si>
    <t xml:space="preserve">Ingredient</t>
  </si>
  <si>
    <t xml:space="preserve">g per 1 kg meat</t>
  </si>
  <si>
    <t xml:space="preserve">% of meat</t>
  </si>
  <si>
    <t xml:space="preserve">Target in this batch</t>
  </si>
  <si>
    <t xml:space="preserve">Weigh on</t>
  </si>
  <si>
    <t xml:space="preserve">Tolerance ±</t>
  </si>
  <si>
    <t xml:space="preserve">Note</t>
  </si>
  <si>
    <t xml:space="preserve">Salt</t>
  </si>
  <si>
    <t xml:space="preserve">TOTAL</t>
  </si>
  <si>
    <t xml:space="preserve">Batch total with meat (g)</t>
  </si>
  <si>
    <t xml:space="preserve">Teriyaki Jerky</t>
  </si>
  <si>
    <t xml:space="preserve">teriyaki_jerky</t>
  </si>
  <si>
    <t xml:space="preserve">Gochujangh Jerky</t>
  </si>
  <si>
    <t xml:space="preserve">gochujangh_jerky</t>
  </si>
  <si>
    <t xml:space="preserve">Pepper Jerky</t>
  </si>
  <si>
    <t xml:space="preserve">pepper_jerky</t>
  </si>
  <si>
    <t xml:space="preserve">Karnatka Nati Jerky</t>
  </si>
  <si>
    <t xml:space="preserve">karnatka_nati_jerky</t>
  </si>
  <si>
    <t xml:space="preserve">Country chicken</t>
  </si>
  <si>
    <t xml:space="preserve">Kerala fry Jerky</t>
  </si>
  <si>
    <t xml:space="preserve">kerala_fry_jerky</t>
  </si>
  <si>
    <t xml:space="preserve">Mughlai Jerky</t>
  </si>
  <si>
    <t xml:space="preserve">mughlai_jerky</t>
  </si>
  <si>
    <t xml:space="preserve">Masala Jerky</t>
  </si>
  <si>
    <t xml:space="preserve">masala_jerky</t>
  </si>
  <si>
    <t xml:space="preserve">All recipes</t>
  </si>
  <si>
    <t xml:space="preserve">Rolls up every recipe sheet. Nothing to type here.</t>
  </si>
  <si>
    <t xml:space="preserve">Recipe</t>
  </si>
  <si>
    <t xml:space="preserve">Ingredients</t>
  </si>
  <si>
    <t xml:space="preserve">Total g per 1 kg meat</t>
  </si>
  <si>
    <t xml:space="preserve">Total % of meat</t>
  </si>
  <si>
    <t xml:space="preserve">On floor scale</t>
  </si>
  <si>
    <t xml:space="preserve">On bench scale</t>
  </si>
  <si>
    <t xml:space="preserve">Cannot be weighed</t>
  </si>
  <si>
    <t xml:space="preserve">Ingredient list</t>
  </si>
  <si>
    <t xml:space="preserve">Feeds the dropdown on every recipe sheet. Add new names at the bottom — keep one spelling per ingredient.</t>
  </si>
  <si>
    <t xml:space="preserve">Bhut jholokia</t>
  </si>
  <si>
    <t xml:space="preserve">Binder (starch)</t>
  </si>
  <si>
    <t xml:space="preserve">Black pepper</t>
  </si>
  <si>
    <t xml:space="preserve">Black pepper mix</t>
  </si>
  <si>
    <t xml:space="preserve">Cardamom powder</t>
  </si>
  <si>
    <t xml:space="preserve">Chilli flake</t>
  </si>
  <si>
    <t xml:space="preserve">Cinnamon powder</t>
  </si>
  <si>
    <t xml:space="preserve">Classic spice mix</t>
  </si>
  <si>
    <t xml:space="preserve">Clove powder</t>
  </si>
  <si>
    <t xml:space="preserve">Coconut oil</t>
  </si>
  <si>
    <t xml:space="preserve">Coriander powder</t>
  </si>
  <si>
    <t xml:space="preserve">Cumin powder</t>
  </si>
  <si>
    <t xml:space="preserve">Curry leaf</t>
  </si>
  <si>
    <t xml:space="preserve">Fennel powder</t>
  </si>
  <si>
    <t xml:space="preserve">Garam masala</t>
  </si>
  <si>
    <t xml:space="preserve">Garlic paste</t>
  </si>
  <si>
    <t xml:space="preserve">Garlic powder</t>
  </si>
  <si>
    <t xml:space="preserve">Ginger paste</t>
  </si>
  <si>
    <t xml:space="preserve">Ginger-garlic paste</t>
  </si>
  <si>
    <t xml:space="preserve">Gochujang paste</t>
  </si>
  <si>
    <t xml:space="preserve">Honey</t>
  </si>
  <si>
    <t xml:space="preserve">Ice water</t>
  </si>
  <si>
    <t xml:space="preserve">Jaggery powder</t>
  </si>
  <si>
    <t xml:space="preserve">Lemon juice</t>
  </si>
  <si>
    <t xml:space="preserve">Liquid smoke</t>
  </si>
  <si>
    <t xml:space="preserve">Masala spice mix</t>
  </si>
  <si>
    <t xml:space="preserve">Mustard seed</t>
  </si>
  <si>
    <t xml:space="preserve">Oil</t>
  </si>
  <si>
    <t xml:space="preserve">Onion paste</t>
  </si>
  <si>
    <t xml:space="preserve">Onion powder</t>
  </si>
  <si>
    <t xml:space="preserve">Red chilli powder</t>
  </si>
  <si>
    <t xml:space="preserve">Rusk / breadcrumb</t>
  </si>
  <si>
    <t xml:space="preserve">Schezwan paste</t>
  </si>
  <si>
    <t xml:space="preserve">Sea salt</t>
  </si>
  <si>
    <t xml:space="preserve">Sesame seed</t>
  </si>
  <si>
    <t xml:space="preserve">Soy sauce</t>
  </si>
  <si>
    <t xml:space="preserve">Sugar</t>
  </si>
  <si>
    <t xml:space="preserve">Tamarind pulp</t>
  </si>
  <si>
    <t xml:space="preserve">Teriyaki sauce</t>
  </si>
  <si>
    <t xml:space="preserve">Turmeric</t>
  </si>
  <si>
    <t xml:space="preserve">Verdad</t>
  </si>
  <si>
    <t xml:space="preserve">Vinegar</t>
  </si>
  <si>
    <t xml:space="preserve">Water</t>
  </si>
  <si>
    <t xml:space="preserve">White vinegar</t>
  </si>
  <si>
    <t xml:space="preserve">Yeast extract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</si>
</sst>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.0"/>
    <numFmt numFmtId="167" formatCode="#,##0"/>
    <numFmt numFmtId="168" formatCode="0.00"/>
    <numFmt numFmtId="169" formatCode="General"/>
    <numFmt numFmtId="170" formatCode="0.000%"/>
    <numFmt numFmtId="171" formatCode="#,##0.00"/>
    <numFmt numFmtId="172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55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55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3CD"/>
      </patternFill>
    </fill>
    <fill>
      <patternFill patternType="solid">
        <fgColor rgb="FF1F3552"/>
        <bgColor rgb="FF003366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  <sz val="10"/>
      </font>
      <fill>
        <patternFill>
          <bgColor rgb="FFFBD5D5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BD5D5"/>
        </patternFill>
      </fill>
    </dxf>
    <dxf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5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27.7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27.75" hidden="false" customHeight="true" outlineLevel="0" collapsed="false">
      <c r="A6" s="4" t="s">
        <v>4</v>
      </c>
      <c r="B6" s="4"/>
      <c r="C6" s="4"/>
      <c r="D6" s="4"/>
      <c r="E6" s="4"/>
      <c r="F6" s="4"/>
    </row>
    <row r="8" customFormat="false" ht="15" hidden="false" customHeight="true" outlineLevel="0" collapsed="false">
      <c r="A8" s="3" t="s">
        <v>5</v>
      </c>
      <c r="B8" s="3"/>
      <c r="C8" s="3"/>
      <c r="D8" s="3"/>
      <c r="E8" s="3"/>
      <c r="F8" s="3"/>
    </row>
    <row r="9" customFormat="false" ht="27.75" hidden="false" customHeight="true" outlineLevel="0" collapsed="false">
      <c r="A9" s="4" t="s">
        <v>6</v>
      </c>
      <c r="B9" s="4"/>
      <c r="C9" s="4"/>
      <c r="D9" s="4"/>
      <c r="E9" s="4"/>
      <c r="F9" s="4"/>
    </row>
    <row r="10" customFormat="false" ht="27.75" hidden="false" customHeight="true" outlineLevel="0" collapsed="false">
      <c r="A10" s="4" t="s">
        <v>7</v>
      </c>
      <c r="B10" s="4"/>
      <c r="C10" s="4"/>
      <c r="D10" s="4"/>
      <c r="E10" s="4"/>
      <c r="F10" s="4"/>
    </row>
    <row r="11" customFormat="false" ht="27.75" hidden="false" customHeight="true" outlineLevel="0" collapsed="false">
      <c r="A11" s="4" t="s">
        <v>8</v>
      </c>
      <c r="B11" s="4"/>
      <c r="C11" s="4"/>
      <c r="D11" s="4"/>
      <c r="E11" s="4"/>
      <c r="F11" s="4"/>
    </row>
    <row r="13" customFormat="false" ht="15" hidden="false" customHeight="true" outlineLevel="0" collapsed="false">
      <c r="A13" s="3" t="s">
        <v>9</v>
      </c>
      <c r="B13" s="3"/>
      <c r="C13" s="3"/>
      <c r="D13" s="3"/>
      <c r="E13" s="3"/>
      <c r="F13" s="3"/>
    </row>
    <row r="14" customFormat="false" ht="27.75" hidden="false" customHeight="true" outlineLevel="0" collapsed="false">
      <c r="A14" s="4" t="s">
        <v>10</v>
      </c>
      <c r="B14" s="4"/>
      <c r="C14" s="4"/>
      <c r="D14" s="4"/>
      <c r="E14" s="4"/>
      <c r="F14" s="4"/>
    </row>
    <row r="15" customFormat="false" ht="27.75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7" customFormat="false" ht="15" hidden="false" customHeight="true" outlineLevel="0" collapsed="false">
      <c r="A17" s="3" t="s">
        <v>12</v>
      </c>
      <c r="B17" s="3"/>
      <c r="C17" s="3"/>
      <c r="D17" s="3"/>
      <c r="E17" s="3"/>
      <c r="F17" s="3"/>
    </row>
    <row r="18" customFormat="false" ht="27.75" hidden="false" customHeight="true" outlineLevel="0" collapsed="false">
      <c r="A18" s="4" t="s">
        <v>13</v>
      </c>
      <c r="B18" s="4"/>
      <c r="C18" s="4"/>
      <c r="D18" s="4"/>
      <c r="E18" s="4"/>
      <c r="F18" s="4"/>
    </row>
    <row r="19" customFormat="false" ht="27.75" hidden="false" customHeight="true" outlineLevel="0" collapsed="false">
      <c r="A19" s="4" t="s">
        <v>14</v>
      </c>
      <c r="B19" s="4"/>
      <c r="C19" s="4"/>
      <c r="D19" s="4"/>
      <c r="E19" s="4"/>
      <c r="F19" s="4"/>
    </row>
    <row r="20" customFormat="false" ht="27.75" hidden="false" customHeight="true" outlineLevel="0" collapsed="false">
      <c r="A20" s="4" t="s">
        <v>15</v>
      </c>
      <c r="B20" s="4"/>
      <c r="C20" s="4"/>
      <c r="D20" s="4"/>
      <c r="E20" s="4"/>
      <c r="F20" s="4"/>
    </row>
    <row r="21" customFormat="false" ht="27.75" hidden="false" customHeight="true" outlineLevel="0" collapsed="false">
      <c r="A21" s="4" t="s">
        <v>16</v>
      </c>
      <c r="B21" s="4"/>
      <c r="C21" s="4"/>
      <c r="D21" s="4"/>
      <c r="E21" s="4"/>
      <c r="F21" s="4"/>
    </row>
    <row r="23" customFormat="false" ht="15" hidden="false" customHeight="true" outlineLevel="0" collapsed="false">
      <c r="A23" s="3" t="s">
        <v>17</v>
      </c>
      <c r="B23" s="3"/>
      <c r="C23" s="3"/>
      <c r="D23" s="3"/>
      <c r="E23" s="3"/>
      <c r="F23" s="3"/>
    </row>
    <row r="24" customFormat="false" ht="27.75" hidden="false" customHeight="true" outlineLevel="0" collapsed="false">
      <c r="A24" s="4" t="s">
        <v>18</v>
      </c>
      <c r="B24" s="4"/>
      <c r="C24" s="4"/>
      <c r="D24" s="4"/>
      <c r="E24" s="4"/>
      <c r="F24" s="4"/>
    </row>
    <row r="26" customFormat="false" ht="15" hidden="false" customHeight="true" outlineLevel="0" collapsed="false">
      <c r="A26" s="3" t="s">
        <v>19</v>
      </c>
      <c r="B26" s="3"/>
      <c r="C26" s="3"/>
      <c r="D26" s="3"/>
      <c r="E26" s="3"/>
      <c r="F26" s="3"/>
    </row>
    <row r="27" customFormat="false" ht="27.75" hidden="false" customHeight="true" outlineLevel="0" collapsed="false">
      <c r="A27" s="4" t="s">
        <v>20</v>
      </c>
      <c r="B27" s="4"/>
      <c r="C27" s="4"/>
      <c r="D27" s="4"/>
      <c r="E27" s="4"/>
      <c r="F27" s="4"/>
    </row>
  </sheetData>
  <mergeCells count="21">
    <mergeCell ref="A1:H1"/>
    <mergeCell ref="A2:H2"/>
    <mergeCell ref="A4:F4"/>
    <mergeCell ref="A5:F5"/>
    <mergeCell ref="A6:F6"/>
    <mergeCell ref="A8:F8"/>
    <mergeCell ref="A9:F9"/>
    <mergeCell ref="A10:F10"/>
    <mergeCell ref="A11:F11"/>
    <mergeCell ref="A13:F13"/>
    <mergeCell ref="A14:F14"/>
    <mergeCell ref="A15:F15"/>
    <mergeCell ref="A17:F17"/>
    <mergeCell ref="A18:F18"/>
    <mergeCell ref="A19:F19"/>
    <mergeCell ref="A20:F20"/>
    <mergeCell ref="A21:F21"/>
    <mergeCell ref="A23:F23"/>
    <mergeCell ref="A24:F2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5" t="s">
        <v>23</v>
      </c>
      <c r="B4" s="6" t="n">
        <v>0.02</v>
      </c>
      <c r="C4" s="7" t="s">
        <v>24</v>
      </c>
    </row>
    <row r="6" customFormat="false" ht="15" hidden="false" customHeight="false" outlineLevel="0" collapsed="false">
      <c r="A6" s="5" t="s">
        <v>25</v>
      </c>
      <c r="B6" s="8" t="s">
        <v>26</v>
      </c>
    </row>
    <row r="7" customFormat="false" ht="15" hidden="false" customHeight="false" outlineLevel="0" collapsed="false">
      <c r="A7" s="9" t="s">
        <v>27</v>
      </c>
      <c r="B7" s="10" t="n">
        <v>5</v>
      </c>
      <c r="C7" s="7" t="s">
        <v>28</v>
      </c>
    </row>
    <row r="8" customFormat="false" ht="15" hidden="false" customHeight="false" outlineLevel="0" collapsed="false">
      <c r="A8" s="9" t="s">
        <v>29</v>
      </c>
      <c r="B8" s="11" t="n">
        <v>50000</v>
      </c>
    </row>
    <row r="9" customFormat="false" ht="15" hidden="false" customHeight="false" outlineLevel="0" collapsed="false">
      <c r="A9" s="9" t="s">
        <v>30</v>
      </c>
      <c r="B9" s="11" t="n">
        <v>50000</v>
      </c>
      <c r="C9" s="7" t="s">
        <v>31</v>
      </c>
    </row>
    <row r="11" customFormat="false" ht="15" hidden="false" customHeight="false" outlineLevel="0" collapsed="false">
      <c r="A11" s="5" t="s">
        <v>32</v>
      </c>
      <c r="B11" s="8" t="s">
        <v>33</v>
      </c>
    </row>
    <row r="12" customFormat="false" ht="15" hidden="false" customHeight="false" outlineLevel="0" collapsed="false">
      <c r="A12" s="9" t="s">
        <v>27</v>
      </c>
      <c r="B12" s="12" t="n">
        <v>0.1</v>
      </c>
      <c r="C12" s="7" t="s">
        <v>34</v>
      </c>
    </row>
    <row r="13" customFormat="false" ht="15" hidden="false" customHeight="false" outlineLevel="0" collapsed="false">
      <c r="A13" s="9" t="s">
        <v>29</v>
      </c>
      <c r="B13" s="11" t="n">
        <v>3000</v>
      </c>
      <c r="C13" s="7" t="s">
        <v>35</v>
      </c>
    </row>
    <row r="14" customFormat="false" ht="15" hidden="false" customHeight="false" outlineLevel="0" collapsed="false">
      <c r="A14" s="9" t="s">
        <v>30</v>
      </c>
      <c r="B14" s="11" t="n">
        <v>2000</v>
      </c>
      <c r="C14" s="7" t="s">
        <v>36</v>
      </c>
    </row>
    <row r="17" customFormat="false" ht="15" hidden="false" customHeight="false" outlineLevel="0" collapsed="false">
      <c r="A17" s="5" t="s">
        <v>37</v>
      </c>
      <c r="B17" s="13" t="n">
        <f aca="false">2*Settings!$B$7/Settings!$B$4</f>
        <v>500</v>
      </c>
      <c r="C17" s="7" t="s">
        <v>38</v>
      </c>
    </row>
    <row r="18" customFormat="false" ht="15" hidden="false" customHeight="false" outlineLevel="0" collapsed="false">
      <c r="A18" s="0" t="s">
        <v>39</v>
      </c>
      <c r="B18" s="11"/>
      <c r="C18" s="7" t="s">
        <v>40</v>
      </c>
    </row>
    <row r="19" customFormat="false" ht="15" hidden="false" customHeight="false" outlineLevel="0" collapsed="false">
      <c r="A19" s="5" t="s">
        <v>41</v>
      </c>
      <c r="B19" s="14" t="n">
        <f aca="false">IF(B18="",B17,B18)</f>
        <v>500</v>
      </c>
    </row>
    <row r="21" customFormat="false" ht="15" hidden="false" customHeight="false" outlineLevel="0" collapsed="false">
      <c r="A21" s="5" t="s">
        <v>42</v>
      </c>
      <c r="B21" s="15" t="str">
        <f aca="false">IF(Settings!$B$14&gt;=Settings!$B$19,"None — the two scales meet","WARNING: nothing can weigh "&amp;TEXT(Settings!$B$14,"#,##0")&amp;" to "&amp;TEXT(Settings!$B$19,"#,##0")&amp;" g")</f>
        <v>None — the two scales meet</v>
      </c>
      <c r="C21" s="15"/>
      <c r="D21" s="15"/>
      <c r="E21" s="15"/>
    </row>
  </sheetData>
  <mergeCells count="3">
    <mergeCell ref="A1:H1"/>
    <mergeCell ref="A2:H2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48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66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67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68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69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70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71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73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 t="s">
        <v>74</v>
      </c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75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76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77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78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79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80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7.5</v>
      </c>
      <c r="D9" s="23" t="n">
        <f aca="false">IF($B9="","",$C9/1000)</f>
        <v>0.0075</v>
      </c>
      <c r="E9" s="24" t="n">
        <f aca="false">IF($B9="","",$D9*$C$4)</f>
        <v>24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0.48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str">
        <f aca="false">IF($B10="","",2)</f>
        <v/>
      </c>
      <c r="B10" s="27"/>
      <c r="C10" s="28"/>
      <c r="D10" s="23" t="str">
        <f aca="false">IF($B10="","",$C10/1000)</f>
        <v/>
      </c>
      <c r="E10" s="24" t="str">
        <f aca="false">IF($B10="","",$D10*$C$4)</f>
        <v/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/>
      </c>
      <c r="G10" s="24" t="str">
        <f aca="false">IF($B10="","",IF($F10=Settings!$B$6,MAX(2*Settings!$B$7,Settings!$B$4*$E10),IF($F10=Settings!$B$11,MAX(2*Settings!$B$12,Settings!$B$4*$E10),"")))</f>
        <v/>
      </c>
      <c r="H10" s="29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str">
        <f aca="false">IF($B11="","",3)</f>
        <v/>
      </c>
      <c r="B11" s="27"/>
      <c r="C11" s="28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9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7"/>
      <c r="C12" s="28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9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7"/>
      <c r="C13" s="28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9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7"/>
      <c r="C14" s="28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9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7"/>
      <c r="C15" s="28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9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7"/>
      <c r="C16" s="28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9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7"/>
      <c r="C17" s="28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9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7"/>
      <c r="C18" s="28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9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7"/>
      <c r="C19" s="28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9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7"/>
      <c r="C20" s="28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9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7"/>
      <c r="C21" s="28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9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7"/>
      <c r="C22" s="28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9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7"/>
      <c r="C23" s="28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9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7"/>
      <c r="C24" s="28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9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7"/>
      <c r="C25" s="28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9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7"/>
      <c r="C26" s="28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9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7"/>
      <c r="C27" s="28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9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7"/>
      <c r="C28" s="28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9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7"/>
      <c r="C29" s="28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9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7"/>
      <c r="C30" s="28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9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7"/>
      <c r="C31" s="28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9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7"/>
      <c r="C32" s="28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9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7"/>
      <c r="C33" s="28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9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7"/>
      <c r="C34" s="28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9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7"/>
      <c r="C35" s="28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9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7"/>
      <c r="C36" s="28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9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7"/>
      <c r="C37" s="28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9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7"/>
      <c r="C38" s="28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9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7"/>
      <c r="C39" s="28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9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7"/>
      <c r="C40" s="28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9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7"/>
      <c r="C41" s="28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9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7"/>
      <c r="C42" s="28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9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7"/>
      <c r="C43" s="28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9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7"/>
      <c r="C44" s="28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9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7"/>
      <c r="C45" s="28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9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7"/>
      <c r="C46" s="28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9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7"/>
      <c r="C47" s="28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9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7"/>
      <c r="C48" s="28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9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30" t="s">
        <v>64</v>
      </c>
      <c r="C50" s="31" t="n">
        <f aca="false">SUM(C9:C48)</f>
        <v>7.5</v>
      </c>
      <c r="D50" s="32" t="n">
        <f aca="false">SUM(D9:D48)</f>
        <v>0.0075</v>
      </c>
      <c r="E50" s="31" t="n">
        <f aca="false">SUM(E9:E48)</f>
        <v>24</v>
      </c>
    </row>
    <row r="51" customFormat="false" ht="15" hidden="false" customHeight="false" outlineLevel="0" collapsed="false">
      <c r="B51" s="5" t="s">
        <v>65</v>
      </c>
      <c r="E51" s="33" t="n">
        <f aca="false">$C$4+E50</f>
        <v>3224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6" min="5" style="0" width="15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81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82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9" t="s">
        <v>83</v>
      </c>
      <c r="B4" s="19" t="s">
        <v>84</v>
      </c>
      <c r="C4" s="19" t="s">
        <v>85</v>
      </c>
      <c r="D4" s="19" t="s">
        <v>86</v>
      </c>
      <c r="E4" s="19" t="s">
        <v>87</v>
      </c>
      <c r="F4" s="19" t="s">
        <v>88</v>
      </c>
      <c r="G4" s="19" t="s">
        <v>89</v>
      </c>
    </row>
    <row r="5" customFormat="false" ht="15" hidden="false" customHeight="false" outlineLevel="0" collapsed="false">
      <c r="A5" s="30" t="s">
        <v>43</v>
      </c>
      <c r="B5" s="34" t="n">
        <f aca="false">COUNTA('Vinegar Bath'!$B$9:$B$48)</f>
        <v>1</v>
      </c>
      <c r="C5" s="24" t="n">
        <f aca="false">'Vinegar Bath'!$C$50</f>
        <v>7.5</v>
      </c>
      <c r="D5" s="23" t="n">
        <f aca="false">'Vinegar Bath'!$D$50</f>
        <v>0.0075</v>
      </c>
      <c r="E5" s="34" t="n">
        <f aca="false">COUNTIF('Vinegar Bath'!$F$9:$F$48,Settings!$B$6)</f>
        <v>0</v>
      </c>
      <c r="F5" s="34" t="n">
        <f aca="false">COUNTIF('Vinegar Bath'!$F$9:$F$48,Settings!$B$11)</f>
        <v>1</v>
      </c>
      <c r="G5" s="34" t="n">
        <f aca="false">COUNTIF('Vinegar Bath'!$F$9:$F$48,"NEITHER*")</f>
        <v>0</v>
      </c>
    </row>
    <row r="6" customFormat="false" ht="15" hidden="false" customHeight="false" outlineLevel="0" collapsed="false">
      <c r="A6" s="30" t="s">
        <v>66</v>
      </c>
      <c r="B6" s="34" t="n">
        <f aca="false">COUNTA('Teriyaki Jerky'!$B$9:$B$48)</f>
        <v>1</v>
      </c>
      <c r="C6" s="24" t="n">
        <f aca="false">'Teriyaki Jerky'!$C$50</f>
        <v>7.5</v>
      </c>
      <c r="D6" s="23" t="n">
        <f aca="false">'Teriyaki Jerky'!$D$50</f>
        <v>0.0075</v>
      </c>
      <c r="E6" s="34" t="n">
        <f aca="false">COUNTIF('Teriyaki Jerky'!$F$9:$F$48,Settings!$B$6)</f>
        <v>0</v>
      </c>
      <c r="F6" s="34" t="n">
        <f aca="false">COUNTIF('Teriyaki Jerky'!$F$9:$F$48,Settings!$B$11)</f>
        <v>1</v>
      </c>
      <c r="G6" s="34" t="n">
        <f aca="false">COUNTIF('Teriyaki Jerky'!$F$9:$F$48,"NEITHER*")</f>
        <v>0</v>
      </c>
    </row>
    <row r="7" customFormat="false" ht="15" hidden="false" customHeight="false" outlineLevel="0" collapsed="false">
      <c r="A7" s="30" t="s">
        <v>68</v>
      </c>
      <c r="B7" s="34" t="n">
        <f aca="false">COUNTA('Gochujangh Jerky'!$B$9:$B$48)</f>
        <v>1</v>
      </c>
      <c r="C7" s="24" t="n">
        <f aca="false">'Gochujangh Jerky'!$C$50</f>
        <v>7.5</v>
      </c>
      <c r="D7" s="23" t="n">
        <f aca="false">'Gochujangh Jerky'!$D$50</f>
        <v>0.0075</v>
      </c>
      <c r="E7" s="34" t="n">
        <f aca="false">COUNTIF('Gochujangh Jerky'!$F$9:$F$48,Settings!$B$6)</f>
        <v>0</v>
      </c>
      <c r="F7" s="34" t="n">
        <f aca="false">COUNTIF('Gochujangh Jerky'!$F$9:$F$48,Settings!$B$11)</f>
        <v>1</v>
      </c>
      <c r="G7" s="34" t="n">
        <f aca="false">COUNTIF('Gochujangh Jerky'!$F$9:$F$48,"NEITHER*")</f>
        <v>0</v>
      </c>
    </row>
    <row r="8" customFormat="false" ht="15" hidden="false" customHeight="false" outlineLevel="0" collapsed="false">
      <c r="A8" s="30" t="s">
        <v>70</v>
      </c>
      <c r="B8" s="34" t="n">
        <f aca="false">COUNTA('Pepper Jerky'!$B$9:$B$48)</f>
        <v>1</v>
      </c>
      <c r="C8" s="24" t="n">
        <f aca="false">'Pepper Jerky'!$C$50</f>
        <v>7.5</v>
      </c>
      <c r="D8" s="23" t="n">
        <f aca="false">'Pepper Jerky'!$D$50</f>
        <v>0.0075</v>
      </c>
      <c r="E8" s="34" t="n">
        <f aca="false">COUNTIF('Pepper Jerky'!$F$9:$F$48,Settings!$B$6)</f>
        <v>0</v>
      </c>
      <c r="F8" s="34" t="n">
        <f aca="false">COUNTIF('Pepper Jerky'!$F$9:$F$48,Settings!$B$11)</f>
        <v>1</v>
      </c>
      <c r="G8" s="34" t="n">
        <f aca="false">COUNTIF('Pepper Jerky'!$F$9:$F$48,"NEITHER*")</f>
        <v>0</v>
      </c>
    </row>
    <row r="9" customFormat="false" ht="15" hidden="false" customHeight="false" outlineLevel="0" collapsed="false">
      <c r="A9" s="30" t="s">
        <v>72</v>
      </c>
      <c r="B9" s="34" t="n">
        <f aca="false">COUNTA('Karnatka Nati Jerky'!$B$9:$B$48)</f>
        <v>1</v>
      </c>
      <c r="C9" s="24" t="n">
        <f aca="false">'Karnatka Nati Jerky'!$C$50</f>
        <v>7.5</v>
      </c>
      <c r="D9" s="23" t="n">
        <f aca="false">'Karnatka Nati Jerky'!$D$50</f>
        <v>0.0075</v>
      </c>
      <c r="E9" s="34" t="n">
        <f aca="false">COUNTIF('Karnatka Nati Jerky'!$F$9:$F$48,Settings!$B$6)</f>
        <v>0</v>
      </c>
      <c r="F9" s="34" t="n">
        <f aca="false">COUNTIF('Karnatka Nati Jerky'!$F$9:$F$48,Settings!$B$11)</f>
        <v>1</v>
      </c>
      <c r="G9" s="34" t="n">
        <f aca="false">COUNTIF('Karnatka Nati Jerky'!$F$9:$F$48,"NEITHER*")</f>
        <v>0</v>
      </c>
    </row>
    <row r="10" customFormat="false" ht="15" hidden="false" customHeight="false" outlineLevel="0" collapsed="false">
      <c r="A10" s="30" t="s">
        <v>75</v>
      </c>
      <c r="B10" s="34" t="n">
        <f aca="false">COUNTA('Kerala fry Jerky'!$B$9:$B$48)</f>
        <v>1</v>
      </c>
      <c r="C10" s="24" t="n">
        <f aca="false">'Kerala fry Jerky'!$C$50</f>
        <v>7.5</v>
      </c>
      <c r="D10" s="23" t="n">
        <f aca="false">'Kerala fry Jerky'!$D$50</f>
        <v>0.0075</v>
      </c>
      <c r="E10" s="34" t="n">
        <f aca="false">COUNTIF('Kerala fry Jerky'!$F$9:$F$48,Settings!$B$6)</f>
        <v>0</v>
      </c>
      <c r="F10" s="34" t="n">
        <f aca="false">COUNTIF('Kerala fry Jerky'!$F$9:$F$48,Settings!$B$11)</f>
        <v>1</v>
      </c>
      <c r="G10" s="34" t="n">
        <f aca="false">COUNTIF('Kerala fry Jerky'!$F$9:$F$48,"NEITHER*")</f>
        <v>0</v>
      </c>
    </row>
    <row r="11" customFormat="false" ht="15" hidden="false" customHeight="false" outlineLevel="0" collapsed="false">
      <c r="A11" s="30" t="s">
        <v>77</v>
      </c>
      <c r="B11" s="34" t="n">
        <f aca="false">COUNTA('Mughlai Jerky'!$B$9:$B$48)</f>
        <v>1</v>
      </c>
      <c r="C11" s="24" t="n">
        <f aca="false">'Mughlai Jerky'!$C$50</f>
        <v>7.5</v>
      </c>
      <c r="D11" s="23" t="n">
        <f aca="false">'Mughlai Jerky'!$D$50</f>
        <v>0.0075</v>
      </c>
      <c r="E11" s="34" t="n">
        <f aca="false">COUNTIF('Mughlai Jerky'!$F$9:$F$48,Settings!$B$6)</f>
        <v>0</v>
      </c>
      <c r="F11" s="34" t="n">
        <f aca="false">COUNTIF('Mughlai Jerky'!$F$9:$F$48,Settings!$B$11)</f>
        <v>1</v>
      </c>
      <c r="G11" s="34" t="n">
        <f aca="false">COUNTIF('Mughlai Jerky'!$F$9:$F$48,"NEITHER*")</f>
        <v>0</v>
      </c>
    </row>
    <row r="12" customFormat="false" ht="15" hidden="false" customHeight="false" outlineLevel="0" collapsed="false">
      <c r="A12" s="30" t="s">
        <v>79</v>
      </c>
      <c r="B12" s="34" t="n">
        <f aca="false">COUNTA('Masala Jerky'!$B$9:$B$48)</f>
        <v>1</v>
      </c>
      <c r="C12" s="24" t="n">
        <f aca="false">'Masala Jerky'!$C$50</f>
        <v>7.5</v>
      </c>
      <c r="D12" s="23" t="n">
        <f aca="false">'Masala Jerky'!$D$50</f>
        <v>0.0075</v>
      </c>
      <c r="E12" s="34" t="n">
        <f aca="false">COUNTIF('Masala Jerky'!$F$9:$F$48,Settings!$B$6)</f>
        <v>0</v>
      </c>
      <c r="F12" s="34" t="n">
        <f aca="false">COUNTIF('Masala Jerky'!$F$9:$F$48,Settings!$B$11)</f>
        <v>1</v>
      </c>
      <c r="G12" s="34" t="n">
        <f aca="false">COUNTIF('Masala Jerky'!$F$9:$F$48,"NEITHER*")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90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91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5" t="s">
        <v>56</v>
      </c>
    </row>
    <row r="5" customFormat="false" ht="15" hidden="false" customHeight="false" outlineLevel="0" collapsed="false">
      <c r="A5" s="34" t="s">
        <v>92</v>
      </c>
      <c r="C5" s="36" t="n">
        <f aca="false">COUNTIF('Vinegar Bath'!$B$9:$B$48,$A5) + COUNTIF('Teriyaki Jerky'!$B$9:$B$48,$A5) + COUNTIF('Gochujangh Jerky'!$B$9:$B$48,$A5) + COUNTIF('Pepper Jerky'!$B$9:$B$48,$A5) + COUNTIF('Karnatka Nati Jerky'!$B$9:$B$48,$A5) + COUNTIF('Kerala fry Jerky'!$B$9:$B$48,$A5) + COUNTIF('Mughlai Jerky'!$B$9:$B$48,$A5) + COUNTIF('Masala Jerky'!$B$9:$B$48,$A5)</f>
        <v>0</v>
      </c>
    </row>
    <row r="6" customFormat="false" ht="15" hidden="false" customHeight="false" outlineLevel="0" collapsed="false">
      <c r="A6" s="34" t="s">
        <v>93</v>
      </c>
      <c r="C6" s="36" t="n">
        <f aca="false">COUNTIF('Vinegar Bath'!$B$9:$B$48,$A6) + COUNTIF('Teriyaki Jerky'!$B$9:$B$48,$A6) + COUNTIF('Gochujangh Jerky'!$B$9:$B$48,$A6) + COUNTIF('Pepper Jerky'!$B$9:$B$48,$A6) + COUNTIF('Karnatka Nati Jerky'!$B$9:$B$48,$A6) + COUNTIF('Kerala fry Jerky'!$B$9:$B$48,$A6) + COUNTIF('Mughlai Jerky'!$B$9:$B$48,$A6) + COUNTIF('Masala Jerky'!$B$9:$B$48,$A6)</f>
        <v>0</v>
      </c>
    </row>
    <row r="7" customFormat="false" ht="15" hidden="false" customHeight="false" outlineLevel="0" collapsed="false">
      <c r="A7" s="34" t="s">
        <v>94</v>
      </c>
      <c r="C7" s="36" t="n">
        <f aca="false">COUNTIF('Vinegar Bath'!$B$9:$B$48,$A7) + COUNTIF('Teriyaki Jerky'!$B$9:$B$48,$A7) + COUNTIF('Gochujangh Jerky'!$B$9:$B$48,$A7) + COUNTIF('Pepper Jerky'!$B$9:$B$48,$A7) + COUNTIF('Karnatka Nati Jerky'!$B$9:$B$48,$A7) + COUNTIF('Kerala fry Jerky'!$B$9:$B$48,$A7) + COUNTIF('Mughlai Jerky'!$B$9:$B$48,$A7) + COUNTIF('Masala Jerky'!$B$9:$B$48,$A7)</f>
        <v>0</v>
      </c>
    </row>
    <row r="8" customFormat="false" ht="15" hidden="false" customHeight="false" outlineLevel="0" collapsed="false">
      <c r="A8" s="34" t="s">
        <v>95</v>
      </c>
      <c r="C8" s="36" t="n">
        <f aca="false">COUNTIF('Vinegar Bath'!$B$9:$B$48,$A8) + COUNTIF('Teriyaki Jerky'!$B$9:$B$48,$A8) + COUNTIF('Gochujangh Jerky'!$B$9:$B$48,$A8) + COUNTIF('Pepper Jerky'!$B$9:$B$48,$A8) + COUNTIF('Karnatka Nati Jerky'!$B$9:$B$48,$A8) + COUNTIF('Kerala fry Jerky'!$B$9:$B$48,$A8) + COUNTIF('Mughlai Jerky'!$B$9:$B$48,$A8) + COUNTIF('Masala Jerky'!$B$9:$B$48,$A8)</f>
        <v>0</v>
      </c>
    </row>
    <row r="9" customFormat="false" ht="15" hidden="false" customHeight="false" outlineLevel="0" collapsed="false">
      <c r="A9" s="34" t="s">
        <v>96</v>
      </c>
      <c r="C9" s="36" t="n">
        <f aca="false">COUNTIF('Vinegar Bath'!$B$9:$B$48,$A9) + COUNTIF('Teriyaki Jerky'!$B$9:$B$48,$A9) + COUNTIF('Gochujangh Jerky'!$B$9:$B$48,$A9) + COUNTIF('Pepper Jerky'!$B$9:$B$48,$A9) + COUNTIF('Karnatka Nati Jerky'!$B$9:$B$48,$A9) + COUNTIF('Kerala fry Jerky'!$B$9:$B$48,$A9) + COUNTIF('Mughlai Jerky'!$B$9:$B$48,$A9) + COUNTIF('Masala Jerky'!$B$9:$B$48,$A9)</f>
        <v>0</v>
      </c>
    </row>
    <row r="10" customFormat="false" ht="15" hidden="false" customHeight="false" outlineLevel="0" collapsed="false">
      <c r="A10" s="34" t="s">
        <v>97</v>
      </c>
      <c r="C10" s="36" t="n">
        <f aca="false">COUNTIF('Vinegar Bath'!$B$9:$B$48,$A10) + COUNTIF('Teriyaki Jerky'!$B$9:$B$48,$A10) + COUNTIF('Gochujangh Jerky'!$B$9:$B$48,$A10) + COUNTIF('Pepper Jerky'!$B$9:$B$48,$A10) + COUNTIF('Karnatka Nati Jerky'!$B$9:$B$48,$A10) + COUNTIF('Kerala fry Jerky'!$B$9:$B$48,$A10) + COUNTIF('Mughlai Jerky'!$B$9:$B$48,$A10) + COUNTIF('Masala Jerky'!$B$9:$B$48,$A10)</f>
        <v>0</v>
      </c>
    </row>
    <row r="11" customFormat="false" ht="15" hidden="false" customHeight="false" outlineLevel="0" collapsed="false">
      <c r="A11" s="34" t="s">
        <v>98</v>
      </c>
      <c r="C11" s="36" t="n">
        <f aca="false">COUNTIF('Vinegar Bath'!$B$9:$B$48,$A11) + COUNTIF('Teriyaki Jerky'!$B$9:$B$48,$A11) + COUNTIF('Gochujangh Jerky'!$B$9:$B$48,$A11) + COUNTIF('Pepper Jerky'!$B$9:$B$48,$A11) + COUNTIF('Karnatka Nati Jerky'!$B$9:$B$48,$A11) + COUNTIF('Kerala fry Jerky'!$B$9:$B$48,$A11) + COUNTIF('Mughlai Jerky'!$B$9:$B$48,$A11) + COUNTIF('Masala Jerky'!$B$9:$B$48,$A11)</f>
        <v>0</v>
      </c>
    </row>
    <row r="12" customFormat="false" ht="15" hidden="false" customHeight="false" outlineLevel="0" collapsed="false">
      <c r="A12" s="34" t="s">
        <v>99</v>
      </c>
      <c r="C12" s="36" t="n">
        <f aca="false">COUNTIF('Vinegar Bath'!$B$9:$B$48,$A12) + COUNTIF('Teriyaki Jerky'!$B$9:$B$48,$A12) + COUNTIF('Gochujangh Jerky'!$B$9:$B$48,$A12) + COUNTIF('Pepper Jerky'!$B$9:$B$48,$A12) + COUNTIF('Karnatka Nati Jerky'!$B$9:$B$48,$A12) + COUNTIF('Kerala fry Jerky'!$B$9:$B$48,$A12) + COUNTIF('Mughlai Jerky'!$B$9:$B$48,$A12) + COUNTIF('Masala Jerky'!$B$9:$B$48,$A12)</f>
        <v>0</v>
      </c>
    </row>
    <row r="13" customFormat="false" ht="15" hidden="false" customHeight="false" outlineLevel="0" collapsed="false">
      <c r="A13" s="34" t="s">
        <v>100</v>
      </c>
      <c r="C13" s="36" t="n">
        <f aca="false">COUNTIF('Vinegar Bath'!$B$9:$B$48,$A13) + COUNTIF('Teriyaki Jerky'!$B$9:$B$48,$A13) + COUNTIF('Gochujangh Jerky'!$B$9:$B$48,$A13) + COUNTIF('Pepper Jerky'!$B$9:$B$48,$A13) + COUNTIF('Karnatka Nati Jerky'!$B$9:$B$48,$A13) + COUNTIF('Kerala fry Jerky'!$B$9:$B$48,$A13) + COUNTIF('Mughlai Jerky'!$B$9:$B$48,$A13) + COUNTIF('Masala Jerky'!$B$9:$B$48,$A13)</f>
        <v>0</v>
      </c>
    </row>
    <row r="14" customFormat="false" ht="15" hidden="false" customHeight="false" outlineLevel="0" collapsed="false">
      <c r="A14" s="34" t="s">
        <v>101</v>
      </c>
      <c r="C14" s="36" t="n">
        <f aca="false">COUNTIF('Vinegar Bath'!$B$9:$B$48,$A14) + COUNTIF('Teriyaki Jerky'!$B$9:$B$48,$A14) + COUNTIF('Gochujangh Jerky'!$B$9:$B$48,$A14) + COUNTIF('Pepper Jerky'!$B$9:$B$48,$A14) + COUNTIF('Karnatka Nati Jerky'!$B$9:$B$48,$A14) + COUNTIF('Kerala fry Jerky'!$B$9:$B$48,$A14) + COUNTIF('Mughlai Jerky'!$B$9:$B$48,$A14) + COUNTIF('Masala Jerky'!$B$9:$B$48,$A14)</f>
        <v>0</v>
      </c>
    </row>
    <row r="15" customFormat="false" ht="15" hidden="false" customHeight="false" outlineLevel="0" collapsed="false">
      <c r="A15" s="34" t="s">
        <v>102</v>
      </c>
      <c r="C15" s="36" t="n">
        <f aca="false">COUNTIF('Vinegar Bath'!$B$9:$B$48,$A15) + COUNTIF('Teriyaki Jerky'!$B$9:$B$48,$A15) + COUNTIF('Gochujangh Jerky'!$B$9:$B$48,$A15) + COUNTIF('Pepper Jerky'!$B$9:$B$48,$A15) + COUNTIF('Karnatka Nati Jerky'!$B$9:$B$48,$A15) + COUNTIF('Kerala fry Jerky'!$B$9:$B$48,$A15) + COUNTIF('Mughlai Jerky'!$B$9:$B$48,$A15) + COUNTIF('Masala Jerky'!$B$9:$B$48,$A15)</f>
        <v>0</v>
      </c>
    </row>
    <row r="16" customFormat="false" ht="15" hidden="false" customHeight="false" outlineLevel="0" collapsed="false">
      <c r="A16" s="34" t="s">
        <v>103</v>
      </c>
      <c r="C16" s="36" t="n">
        <f aca="false">COUNTIF('Vinegar Bath'!$B$9:$B$48,$A16) + COUNTIF('Teriyaki Jerky'!$B$9:$B$48,$A16) + COUNTIF('Gochujangh Jerky'!$B$9:$B$48,$A16) + COUNTIF('Pepper Jerky'!$B$9:$B$48,$A16) + COUNTIF('Karnatka Nati Jerky'!$B$9:$B$48,$A16) + COUNTIF('Kerala fry Jerky'!$B$9:$B$48,$A16) + COUNTIF('Mughlai Jerky'!$B$9:$B$48,$A16) + COUNTIF('Masala Jerky'!$B$9:$B$48,$A16)</f>
        <v>0</v>
      </c>
    </row>
    <row r="17" customFormat="false" ht="15" hidden="false" customHeight="false" outlineLevel="0" collapsed="false">
      <c r="A17" s="34" t="s">
        <v>104</v>
      </c>
      <c r="C17" s="36" t="n">
        <f aca="false">COUNTIF('Vinegar Bath'!$B$9:$B$48,$A17) + COUNTIF('Teriyaki Jerky'!$B$9:$B$48,$A17) + COUNTIF('Gochujangh Jerky'!$B$9:$B$48,$A17) + COUNTIF('Pepper Jerky'!$B$9:$B$48,$A17) + COUNTIF('Karnatka Nati Jerky'!$B$9:$B$48,$A17) + COUNTIF('Kerala fry Jerky'!$B$9:$B$48,$A17) + COUNTIF('Mughlai Jerky'!$B$9:$B$48,$A17) + COUNTIF('Masala Jerky'!$B$9:$B$48,$A17)</f>
        <v>0</v>
      </c>
    </row>
    <row r="18" customFormat="false" ht="15" hidden="false" customHeight="false" outlineLevel="0" collapsed="false">
      <c r="A18" s="34" t="s">
        <v>105</v>
      </c>
      <c r="C18" s="36" t="n">
        <f aca="false">COUNTIF('Vinegar Bath'!$B$9:$B$48,$A18) + COUNTIF('Teriyaki Jerky'!$B$9:$B$48,$A18) + COUNTIF('Gochujangh Jerky'!$B$9:$B$48,$A18) + COUNTIF('Pepper Jerky'!$B$9:$B$48,$A18) + COUNTIF('Karnatka Nati Jerky'!$B$9:$B$48,$A18) + COUNTIF('Kerala fry Jerky'!$B$9:$B$48,$A18) + COUNTIF('Mughlai Jerky'!$B$9:$B$48,$A18) + COUNTIF('Masala Jerky'!$B$9:$B$48,$A18)</f>
        <v>0</v>
      </c>
    </row>
    <row r="19" customFormat="false" ht="15" hidden="false" customHeight="false" outlineLevel="0" collapsed="false">
      <c r="A19" s="34" t="s">
        <v>106</v>
      </c>
      <c r="C19" s="36" t="n">
        <f aca="false">COUNTIF('Vinegar Bath'!$B$9:$B$48,$A19) + COUNTIF('Teriyaki Jerky'!$B$9:$B$48,$A19) + COUNTIF('Gochujangh Jerky'!$B$9:$B$48,$A19) + COUNTIF('Pepper Jerky'!$B$9:$B$48,$A19) + COUNTIF('Karnatka Nati Jerky'!$B$9:$B$48,$A19) + COUNTIF('Kerala fry Jerky'!$B$9:$B$48,$A19) + COUNTIF('Mughlai Jerky'!$B$9:$B$48,$A19) + COUNTIF('Masala Jerky'!$B$9:$B$48,$A19)</f>
        <v>0</v>
      </c>
    </row>
    <row r="20" customFormat="false" ht="15" hidden="false" customHeight="false" outlineLevel="0" collapsed="false">
      <c r="A20" s="34" t="s">
        <v>107</v>
      </c>
      <c r="C20" s="36" t="n">
        <f aca="false">COUNTIF('Vinegar Bath'!$B$9:$B$48,$A20) + COUNTIF('Teriyaki Jerky'!$B$9:$B$48,$A20) + COUNTIF('Gochujangh Jerky'!$B$9:$B$48,$A20) + COUNTIF('Pepper Jerky'!$B$9:$B$48,$A20) + COUNTIF('Karnatka Nati Jerky'!$B$9:$B$48,$A20) + COUNTIF('Kerala fry Jerky'!$B$9:$B$48,$A20) + COUNTIF('Mughlai Jerky'!$B$9:$B$48,$A20) + COUNTIF('Masala Jerky'!$B$9:$B$48,$A20)</f>
        <v>0</v>
      </c>
    </row>
    <row r="21" customFormat="false" ht="15" hidden="false" customHeight="false" outlineLevel="0" collapsed="false">
      <c r="A21" s="34" t="s">
        <v>108</v>
      </c>
      <c r="C21" s="36" t="n">
        <f aca="false">COUNTIF('Vinegar Bath'!$B$9:$B$48,$A21) + COUNTIF('Teriyaki Jerky'!$B$9:$B$48,$A21) + COUNTIF('Gochujangh Jerky'!$B$9:$B$48,$A21) + COUNTIF('Pepper Jerky'!$B$9:$B$48,$A21) + COUNTIF('Karnatka Nati Jerky'!$B$9:$B$48,$A21) + COUNTIF('Kerala fry Jerky'!$B$9:$B$48,$A21) + COUNTIF('Mughlai Jerky'!$B$9:$B$48,$A21) + COUNTIF('Masala Jerky'!$B$9:$B$48,$A21)</f>
        <v>0</v>
      </c>
    </row>
    <row r="22" customFormat="false" ht="15" hidden="false" customHeight="false" outlineLevel="0" collapsed="false">
      <c r="A22" s="34" t="s">
        <v>109</v>
      </c>
      <c r="C22" s="36" t="n">
        <f aca="false">COUNTIF('Vinegar Bath'!$B$9:$B$48,$A22) + COUNTIF('Teriyaki Jerky'!$B$9:$B$48,$A22) + COUNTIF('Gochujangh Jerky'!$B$9:$B$48,$A22) + COUNTIF('Pepper Jerky'!$B$9:$B$48,$A22) + COUNTIF('Karnatka Nati Jerky'!$B$9:$B$48,$A22) + COUNTIF('Kerala fry Jerky'!$B$9:$B$48,$A22) + COUNTIF('Mughlai Jerky'!$B$9:$B$48,$A22) + COUNTIF('Masala Jerky'!$B$9:$B$48,$A22)</f>
        <v>0</v>
      </c>
    </row>
    <row r="23" customFormat="false" ht="15" hidden="false" customHeight="false" outlineLevel="0" collapsed="false">
      <c r="A23" s="34" t="s">
        <v>110</v>
      </c>
      <c r="C23" s="36" t="n">
        <f aca="false">COUNTIF('Vinegar Bath'!$B$9:$B$48,$A23) + COUNTIF('Teriyaki Jerky'!$B$9:$B$48,$A23) + COUNTIF('Gochujangh Jerky'!$B$9:$B$48,$A23) + COUNTIF('Pepper Jerky'!$B$9:$B$48,$A23) + COUNTIF('Karnatka Nati Jerky'!$B$9:$B$48,$A23) + COUNTIF('Kerala fry Jerky'!$B$9:$B$48,$A23) + COUNTIF('Mughlai Jerky'!$B$9:$B$48,$A23) + COUNTIF('Masala Jerky'!$B$9:$B$48,$A23)</f>
        <v>0</v>
      </c>
    </row>
    <row r="24" customFormat="false" ht="15" hidden="false" customHeight="false" outlineLevel="0" collapsed="false">
      <c r="A24" s="34" t="s">
        <v>111</v>
      </c>
      <c r="C24" s="36" t="n">
        <f aca="false">COUNTIF('Vinegar Bath'!$B$9:$B$48,$A24) + COUNTIF('Teriyaki Jerky'!$B$9:$B$48,$A24) + COUNTIF('Gochujangh Jerky'!$B$9:$B$48,$A24) + COUNTIF('Pepper Jerky'!$B$9:$B$48,$A24) + COUNTIF('Karnatka Nati Jerky'!$B$9:$B$48,$A24) + COUNTIF('Kerala fry Jerky'!$B$9:$B$48,$A24) + COUNTIF('Mughlai Jerky'!$B$9:$B$48,$A24) + COUNTIF('Masala Jerky'!$B$9:$B$48,$A24)</f>
        <v>0</v>
      </c>
    </row>
    <row r="25" customFormat="false" ht="15" hidden="false" customHeight="false" outlineLevel="0" collapsed="false">
      <c r="A25" s="34" t="s">
        <v>112</v>
      </c>
      <c r="C25" s="36" t="n">
        <f aca="false">COUNTIF('Vinegar Bath'!$B$9:$B$48,$A25) + COUNTIF('Teriyaki Jerky'!$B$9:$B$48,$A25) + COUNTIF('Gochujangh Jerky'!$B$9:$B$48,$A25) + COUNTIF('Pepper Jerky'!$B$9:$B$48,$A25) + COUNTIF('Karnatka Nati Jerky'!$B$9:$B$48,$A25) + COUNTIF('Kerala fry Jerky'!$B$9:$B$48,$A25) + COUNTIF('Mughlai Jerky'!$B$9:$B$48,$A25) + COUNTIF('Masala Jerky'!$B$9:$B$48,$A25)</f>
        <v>0</v>
      </c>
    </row>
    <row r="26" customFormat="false" ht="15" hidden="false" customHeight="false" outlineLevel="0" collapsed="false">
      <c r="A26" s="34" t="s">
        <v>113</v>
      </c>
      <c r="C26" s="36" t="n">
        <f aca="false">COUNTIF('Vinegar Bath'!$B$9:$B$48,$A26) + COUNTIF('Teriyaki Jerky'!$B$9:$B$48,$A26) + COUNTIF('Gochujangh Jerky'!$B$9:$B$48,$A26) + COUNTIF('Pepper Jerky'!$B$9:$B$48,$A26) + COUNTIF('Karnatka Nati Jerky'!$B$9:$B$48,$A26) + COUNTIF('Kerala fry Jerky'!$B$9:$B$48,$A26) + COUNTIF('Mughlai Jerky'!$B$9:$B$48,$A26) + COUNTIF('Masala Jerky'!$B$9:$B$48,$A26)</f>
        <v>0</v>
      </c>
    </row>
    <row r="27" customFormat="false" ht="15" hidden="false" customHeight="false" outlineLevel="0" collapsed="false">
      <c r="A27" s="34" t="s">
        <v>114</v>
      </c>
      <c r="C27" s="36" t="n">
        <f aca="false">COUNTIF('Vinegar Bath'!$B$9:$B$48,$A27) + COUNTIF('Teriyaki Jerky'!$B$9:$B$48,$A27) + COUNTIF('Gochujangh Jerky'!$B$9:$B$48,$A27) + COUNTIF('Pepper Jerky'!$B$9:$B$48,$A27) + COUNTIF('Karnatka Nati Jerky'!$B$9:$B$48,$A27) + COUNTIF('Kerala fry Jerky'!$B$9:$B$48,$A27) + COUNTIF('Mughlai Jerky'!$B$9:$B$48,$A27) + COUNTIF('Masala Jerky'!$B$9:$B$48,$A27)</f>
        <v>0</v>
      </c>
    </row>
    <row r="28" customFormat="false" ht="15" hidden="false" customHeight="false" outlineLevel="0" collapsed="false">
      <c r="A28" s="34" t="s">
        <v>115</v>
      </c>
      <c r="C28" s="36" t="n">
        <f aca="false">COUNTIF('Vinegar Bath'!$B$9:$B$48,$A28) + COUNTIF('Teriyaki Jerky'!$B$9:$B$48,$A28) + COUNTIF('Gochujangh Jerky'!$B$9:$B$48,$A28) + COUNTIF('Pepper Jerky'!$B$9:$B$48,$A28) + COUNTIF('Karnatka Nati Jerky'!$B$9:$B$48,$A28) + COUNTIF('Kerala fry Jerky'!$B$9:$B$48,$A28) + COUNTIF('Mughlai Jerky'!$B$9:$B$48,$A28) + COUNTIF('Masala Jerky'!$B$9:$B$48,$A28)</f>
        <v>0</v>
      </c>
    </row>
    <row r="29" customFormat="false" ht="15" hidden="false" customHeight="false" outlineLevel="0" collapsed="false">
      <c r="A29" s="34" t="s">
        <v>116</v>
      </c>
      <c r="C29" s="36" t="n">
        <f aca="false">COUNTIF('Vinegar Bath'!$B$9:$B$48,$A29) + COUNTIF('Teriyaki Jerky'!$B$9:$B$48,$A29) + COUNTIF('Gochujangh Jerky'!$B$9:$B$48,$A29) + COUNTIF('Pepper Jerky'!$B$9:$B$48,$A29) + COUNTIF('Karnatka Nati Jerky'!$B$9:$B$48,$A29) + COUNTIF('Kerala fry Jerky'!$B$9:$B$48,$A29) + COUNTIF('Mughlai Jerky'!$B$9:$B$48,$A29) + COUNTIF('Masala Jerky'!$B$9:$B$48,$A29)</f>
        <v>0</v>
      </c>
    </row>
    <row r="30" customFormat="false" ht="15" hidden="false" customHeight="false" outlineLevel="0" collapsed="false">
      <c r="A30" s="34" t="s">
        <v>117</v>
      </c>
      <c r="C30" s="36" t="n">
        <f aca="false">COUNTIF('Vinegar Bath'!$B$9:$B$48,$A30) + COUNTIF('Teriyaki Jerky'!$B$9:$B$48,$A30) + COUNTIF('Gochujangh Jerky'!$B$9:$B$48,$A30) + COUNTIF('Pepper Jerky'!$B$9:$B$48,$A30) + COUNTIF('Karnatka Nati Jerky'!$B$9:$B$48,$A30) + COUNTIF('Kerala fry Jerky'!$B$9:$B$48,$A30) + COUNTIF('Mughlai Jerky'!$B$9:$B$48,$A30) + COUNTIF('Masala Jerky'!$B$9:$B$48,$A30)</f>
        <v>0</v>
      </c>
    </row>
    <row r="31" customFormat="false" ht="15" hidden="false" customHeight="false" outlineLevel="0" collapsed="false">
      <c r="A31" s="34" t="s">
        <v>118</v>
      </c>
      <c r="C31" s="36" t="n">
        <f aca="false">COUNTIF('Vinegar Bath'!$B$9:$B$48,$A31) + COUNTIF('Teriyaki Jerky'!$B$9:$B$48,$A31) + COUNTIF('Gochujangh Jerky'!$B$9:$B$48,$A31) + COUNTIF('Pepper Jerky'!$B$9:$B$48,$A31) + COUNTIF('Karnatka Nati Jerky'!$B$9:$B$48,$A31) + COUNTIF('Kerala fry Jerky'!$B$9:$B$48,$A31) + COUNTIF('Mughlai Jerky'!$B$9:$B$48,$A31) + COUNTIF('Masala Jerky'!$B$9:$B$48,$A31)</f>
        <v>0</v>
      </c>
    </row>
    <row r="32" customFormat="false" ht="15" hidden="false" customHeight="false" outlineLevel="0" collapsed="false">
      <c r="A32" s="34" t="s">
        <v>119</v>
      </c>
      <c r="C32" s="36" t="n">
        <f aca="false">COUNTIF('Vinegar Bath'!$B$9:$B$48,$A32) + COUNTIF('Teriyaki Jerky'!$B$9:$B$48,$A32) + COUNTIF('Gochujangh Jerky'!$B$9:$B$48,$A32) + COUNTIF('Pepper Jerky'!$B$9:$B$48,$A32) + COUNTIF('Karnatka Nati Jerky'!$B$9:$B$48,$A32) + COUNTIF('Kerala fry Jerky'!$B$9:$B$48,$A32) + COUNTIF('Mughlai Jerky'!$B$9:$B$48,$A32) + COUNTIF('Masala Jerky'!$B$9:$B$48,$A32)</f>
        <v>0</v>
      </c>
    </row>
    <row r="33" customFormat="false" ht="15" hidden="false" customHeight="false" outlineLevel="0" collapsed="false">
      <c r="A33" s="34" t="s">
        <v>120</v>
      </c>
      <c r="C33" s="36" t="n">
        <f aca="false">COUNTIF('Vinegar Bath'!$B$9:$B$48,$A33) + COUNTIF('Teriyaki Jerky'!$B$9:$B$48,$A33) + COUNTIF('Gochujangh Jerky'!$B$9:$B$48,$A33) + COUNTIF('Pepper Jerky'!$B$9:$B$48,$A33) + COUNTIF('Karnatka Nati Jerky'!$B$9:$B$48,$A33) + COUNTIF('Kerala fry Jerky'!$B$9:$B$48,$A33) + COUNTIF('Mughlai Jerky'!$B$9:$B$48,$A33) + COUNTIF('Masala Jerky'!$B$9:$B$48,$A33)</f>
        <v>0</v>
      </c>
    </row>
    <row r="34" customFormat="false" ht="15" hidden="false" customHeight="false" outlineLevel="0" collapsed="false">
      <c r="A34" s="34" t="s">
        <v>121</v>
      </c>
      <c r="C34" s="36" t="n">
        <f aca="false">COUNTIF('Vinegar Bath'!$B$9:$B$48,$A34) + COUNTIF('Teriyaki Jerky'!$B$9:$B$48,$A34) + COUNTIF('Gochujangh Jerky'!$B$9:$B$48,$A34) + COUNTIF('Pepper Jerky'!$B$9:$B$48,$A34) + COUNTIF('Karnatka Nati Jerky'!$B$9:$B$48,$A34) + COUNTIF('Kerala fry Jerky'!$B$9:$B$48,$A34) + COUNTIF('Mughlai Jerky'!$B$9:$B$48,$A34) + COUNTIF('Masala Jerky'!$B$9:$B$48,$A34)</f>
        <v>0</v>
      </c>
    </row>
    <row r="35" customFormat="false" ht="15" hidden="false" customHeight="false" outlineLevel="0" collapsed="false">
      <c r="A35" s="34" t="s">
        <v>122</v>
      </c>
      <c r="C35" s="36" t="n">
        <f aca="false">COUNTIF('Vinegar Bath'!$B$9:$B$48,$A35) + COUNTIF('Teriyaki Jerky'!$B$9:$B$48,$A35) + COUNTIF('Gochujangh Jerky'!$B$9:$B$48,$A35) + COUNTIF('Pepper Jerky'!$B$9:$B$48,$A35) + COUNTIF('Karnatka Nati Jerky'!$B$9:$B$48,$A35) + COUNTIF('Kerala fry Jerky'!$B$9:$B$48,$A35) + COUNTIF('Mughlai Jerky'!$B$9:$B$48,$A35) + COUNTIF('Masala Jerky'!$B$9:$B$48,$A35)</f>
        <v>0</v>
      </c>
    </row>
    <row r="36" customFormat="false" ht="15" hidden="false" customHeight="false" outlineLevel="0" collapsed="false">
      <c r="A36" s="34" t="s">
        <v>123</v>
      </c>
      <c r="C36" s="36" t="n">
        <f aca="false">COUNTIF('Vinegar Bath'!$B$9:$B$48,$A36) + COUNTIF('Teriyaki Jerky'!$B$9:$B$48,$A36) + COUNTIF('Gochujangh Jerky'!$B$9:$B$48,$A36) + COUNTIF('Pepper Jerky'!$B$9:$B$48,$A36) + COUNTIF('Karnatka Nati Jerky'!$B$9:$B$48,$A36) + COUNTIF('Kerala fry Jerky'!$B$9:$B$48,$A36) + COUNTIF('Mughlai Jerky'!$B$9:$B$48,$A36) + COUNTIF('Masala Jerky'!$B$9:$B$48,$A36)</f>
        <v>0</v>
      </c>
    </row>
    <row r="37" customFormat="false" ht="15" hidden="false" customHeight="false" outlineLevel="0" collapsed="false">
      <c r="A37" s="34" t="s">
        <v>63</v>
      </c>
      <c r="C37" s="36" t="n">
        <f aca="false">COUNTIF('Vinegar Bath'!$B$9:$B$48,$A37) + COUNTIF('Teriyaki Jerky'!$B$9:$B$48,$A37) + COUNTIF('Gochujangh Jerky'!$B$9:$B$48,$A37) + COUNTIF('Pepper Jerky'!$B$9:$B$48,$A37) + COUNTIF('Karnatka Nati Jerky'!$B$9:$B$48,$A37) + COUNTIF('Kerala fry Jerky'!$B$9:$B$48,$A37) + COUNTIF('Mughlai Jerky'!$B$9:$B$48,$A37) + COUNTIF('Masala Jerky'!$B$9:$B$48,$A37)</f>
        <v>8</v>
      </c>
    </row>
    <row r="38" customFormat="false" ht="15" hidden="false" customHeight="false" outlineLevel="0" collapsed="false">
      <c r="A38" s="34" t="s">
        <v>124</v>
      </c>
      <c r="C38" s="36" t="n">
        <f aca="false">COUNTIF('Vinegar Bath'!$B$9:$B$48,$A38) + COUNTIF('Teriyaki Jerky'!$B$9:$B$48,$A38) + COUNTIF('Gochujangh Jerky'!$B$9:$B$48,$A38) + COUNTIF('Pepper Jerky'!$B$9:$B$48,$A38) + COUNTIF('Karnatka Nati Jerky'!$B$9:$B$48,$A38) + COUNTIF('Kerala fry Jerky'!$B$9:$B$48,$A38) + COUNTIF('Mughlai Jerky'!$B$9:$B$48,$A38) + COUNTIF('Masala Jerky'!$B$9:$B$48,$A38)</f>
        <v>0</v>
      </c>
    </row>
    <row r="39" customFormat="false" ht="15" hidden="false" customHeight="false" outlineLevel="0" collapsed="false">
      <c r="A39" s="34" t="s">
        <v>125</v>
      </c>
      <c r="C39" s="36" t="n">
        <f aca="false">COUNTIF('Vinegar Bath'!$B$9:$B$48,$A39) + COUNTIF('Teriyaki Jerky'!$B$9:$B$48,$A39) + COUNTIF('Gochujangh Jerky'!$B$9:$B$48,$A39) + COUNTIF('Pepper Jerky'!$B$9:$B$48,$A39) + COUNTIF('Karnatka Nati Jerky'!$B$9:$B$48,$A39) + COUNTIF('Kerala fry Jerky'!$B$9:$B$48,$A39) + COUNTIF('Mughlai Jerky'!$B$9:$B$48,$A39) + COUNTIF('Masala Jerky'!$B$9:$B$48,$A39)</f>
        <v>0</v>
      </c>
    </row>
    <row r="40" customFormat="false" ht="15" hidden="false" customHeight="false" outlineLevel="0" collapsed="false">
      <c r="A40" s="34" t="s">
        <v>126</v>
      </c>
      <c r="C40" s="36" t="n">
        <f aca="false">COUNTIF('Vinegar Bath'!$B$9:$B$48,$A40) + COUNTIF('Teriyaki Jerky'!$B$9:$B$48,$A40) + COUNTIF('Gochujangh Jerky'!$B$9:$B$48,$A40) + COUNTIF('Pepper Jerky'!$B$9:$B$48,$A40) + COUNTIF('Karnatka Nati Jerky'!$B$9:$B$48,$A40) + COUNTIF('Kerala fry Jerky'!$B$9:$B$48,$A40) + COUNTIF('Mughlai Jerky'!$B$9:$B$48,$A40) + COUNTIF('Masala Jerky'!$B$9:$B$48,$A40)</f>
        <v>0</v>
      </c>
    </row>
    <row r="41" customFormat="false" ht="15" hidden="false" customHeight="false" outlineLevel="0" collapsed="false">
      <c r="A41" s="34" t="s">
        <v>127</v>
      </c>
      <c r="C41" s="36" t="n">
        <f aca="false">COUNTIF('Vinegar Bath'!$B$9:$B$48,$A41) + COUNTIF('Teriyaki Jerky'!$B$9:$B$48,$A41) + COUNTIF('Gochujangh Jerky'!$B$9:$B$48,$A41) + COUNTIF('Pepper Jerky'!$B$9:$B$48,$A41) + COUNTIF('Karnatka Nati Jerky'!$B$9:$B$48,$A41) + COUNTIF('Kerala fry Jerky'!$B$9:$B$48,$A41) + COUNTIF('Mughlai Jerky'!$B$9:$B$48,$A41) + COUNTIF('Masala Jerky'!$B$9:$B$48,$A41)</f>
        <v>0</v>
      </c>
    </row>
    <row r="42" customFormat="false" ht="15" hidden="false" customHeight="false" outlineLevel="0" collapsed="false">
      <c r="A42" s="34" t="s">
        <v>128</v>
      </c>
      <c r="C42" s="36" t="n">
        <f aca="false">COUNTIF('Vinegar Bath'!$B$9:$B$48,$A42) + COUNTIF('Teriyaki Jerky'!$B$9:$B$48,$A42) + COUNTIF('Gochujangh Jerky'!$B$9:$B$48,$A42) + COUNTIF('Pepper Jerky'!$B$9:$B$48,$A42) + COUNTIF('Karnatka Nati Jerky'!$B$9:$B$48,$A42) + COUNTIF('Kerala fry Jerky'!$B$9:$B$48,$A42) + COUNTIF('Mughlai Jerky'!$B$9:$B$48,$A42) + COUNTIF('Masala Jerky'!$B$9:$B$48,$A42)</f>
        <v>0</v>
      </c>
    </row>
    <row r="43" customFormat="false" ht="15" hidden="false" customHeight="false" outlineLevel="0" collapsed="false">
      <c r="A43" s="34" t="s">
        <v>129</v>
      </c>
      <c r="C43" s="36" t="n">
        <f aca="false">COUNTIF('Vinegar Bath'!$B$9:$B$48,$A43) + COUNTIF('Teriyaki Jerky'!$B$9:$B$48,$A43) + COUNTIF('Gochujangh Jerky'!$B$9:$B$48,$A43) + COUNTIF('Pepper Jerky'!$B$9:$B$48,$A43) + COUNTIF('Karnatka Nati Jerky'!$B$9:$B$48,$A43) + COUNTIF('Kerala fry Jerky'!$B$9:$B$48,$A43) + COUNTIF('Mughlai Jerky'!$B$9:$B$48,$A43) + COUNTIF('Masala Jerky'!$B$9:$B$48,$A43)</f>
        <v>0</v>
      </c>
    </row>
    <row r="44" customFormat="false" ht="15" hidden="false" customHeight="false" outlineLevel="0" collapsed="false">
      <c r="A44" s="34" t="s">
        <v>130</v>
      </c>
      <c r="C44" s="36" t="n">
        <f aca="false">COUNTIF('Vinegar Bath'!$B$9:$B$48,$A44) + COUNTIF('Teriyaki Jerky'!$B$9:$B$48,$A44) + COUNTIF('Gochujangh Jerky'!$B$9:$B$48,$A44) + COUNTIF('Pepper Jerky'!$B$9:$B$48,$A44) + COUNTIF('Karnatka Nati Jerky'!$B$9:$B$48,$A44) + COUNTIF('Kerala fry Jerky'!$B$9:$B$48,$A44) + COUNTIF('Mughlai Jerky'!$B$9:$B$48,$A44) + COUNTIF('Masala Jerky'!$B$9:$B$48,$A44)</f>
        <v>0</v>
      </c>
    </row>
    <row r="45" customFormat="false" ht="15" hidden="false" customHeight="false" outlineLevel="0" collapsed="false">
      <c r="A45" s="34" t="s">
        <v>131</v>
      </c>
      <c r="C45" s="36" t="n">
        <f aca="false">COUNTIF('Vinegar Bath'!$B$9:$B$48,$A45) + COUNTIF('Teriyaki Jerky'!$B$9:$B$48,$A45) + COUNTIF('Gochujangh Jerky'!$B$9:$B$48,$A45) + COUNTIF('Pepper Jerky'!$B$9:$B$48,$A45) + COUNTIF('Karnatka Nati Jerky'!$B$9:$B$48,$A45) + COUNTIF('Kerala fry Jerky'!$B$9:$B$48,$A45) + COUNTIF('Mughlai Jerky'!$B$9:$B$48,$A45) + COUNTIF('Masala Jerky'!$B$9:$B$48,$A45)</f>
        <v>0</v>
      </c>
    </row>
    <row r="46" customFormat="false" ht="15" hidden="false" customHeight="false" outlineLevel="0" collapsed="false">
      <c r="A46" s="34" t="s">
        <v>132</v>
      </c>
      <c r="C46" s="36" t="n">
        <f aca="false">COUNTIF('Vinegar Bath'!$B$9:$B$48,$A46) + COUNTIF('Teriyaki Jerky'!$B$9:$B$48,$A46) + COUNTIF('Gochujangh Jerky'!$B$9:$B$48,$A46) + COUNTIF('Pepper Jerky'!$B$9:$B$48,$A46) + COUNTIF('Karnatka Nati Jerky'!$B$9:$B$48,$A46) + COUNTIF('Kerala fry Jerky'!$B$9:$B$48,$A46) + COUNTIF('Mughlai Jerky'!$B$9:$B$48,$A46) + COUNTIF('Masala Jerky'!$B$9:$B$48,$A46)</f>
        <v>0</v>
      </c>
    </row>
    <row r="47" customFormat="false" ht="15" hidden="false" customHeight="false" outlineLevel="0" collapsed="false">
      <c r="A47" s="34" t="s">
        <v>133</v>
      </c>
      <c r="C47" s="36" t="n">
        <f aca="false">COUNTIF('Vinegar Bath'!$B$9:$B$48,$A47) + COUNTIF('Teriyaki Jerky'!$B$9:$B$48,$A47) + COUNTIF('Gochujangh Jerky'!$B$9:$B$48,$A47) + COUNTIF('Pepper Jerky'!$B$9:$B$48,$A47) + COUNTIF('Karnatka Nati Jerky'!$B$9:$B$48,$A47) + COUNTIF('Kerala fry Jerky'!$B$9:$B$48,$A47) + COUNTIF('Mughlai Jerky'!$B$9:$B$48,$A47) + COUNTIF('Masala Jerky'!$B$9:$B$48,$A47)</f>
        <v>0</v>
      </c>
    </row>
    <row r="48" customFormat="false" ht="15" hidden="false" customHeight="false" outlineLevel="0" collapsed="false">
      <c r="A48" s="34" t="s">
        <v>134</v>
      </c>
      <c r="C48" s="36" t="n">
        <f aca="false">COUNTIF('Vinegar Bath'!$B$9:$B$48,$A48) + COUNTIF('Teriyaki Jerky'!$B$9:$B$48,$A48) + COUNTIF('Gochujangh Jerky'!$B$9:$B$48,$A48) + COUNTIF('Pepper Jerky'!$B$9:$B$48,$A48) + COUNTIF('Karnatka Nati Jerky'!$B$9:$B$48,$A48) + COUNTIF('Kerala fry Jerky'!$B$9:$B$48,$A48) + COUNTIF('Mughlai Jerky'!$B$9:$B$48,$A48) + COUNTIF('Masala Jerky'!$B$9:$B$48,$A48)</f>
        <v>0</v>
      </c>
    </row>
    <row r="49" customFormat="false" ht="15" hidden="false" customHeight="false" outlineLevel="0" collapsed="false">
      <c r="A49" s="34" t="s">
        <v>135</v>
      </c>
      <c r="C49" s="36" t="n">
        <f aca="false">COUNTIF('Vinegar Bath'!$B$9:$B$48,$A49) + COUNTIF('Teriyaki Jerky'!$B$9:$B$48,$A49) + COUNTIF('Gochujangh Jerky'!$B$9:$B$48,$A49) + COUNTIF('Pepper Jerky'!$B$9:$B$48,$A49) + COUNTIF('Karnatka Nati Jerky'!$B$9:$B$48,$A49) + COUNTIF('Kerala fry Jerky'!$B$9:$B$48,$A49) + COUNTIF('Mughlai Jerky'!$B$9:$B$48,$A49) + COUNTIF('Masala Jerky'!$B$9:$B$48,$A49)</f>
        <v>0</v>
      </c>
    </row>
    <row r="50" customFormat="false" ht="15" hidden="false" customHeight="false" outlineLevel="0" collapsed="false">
      <c r="A50" s="34" t="s">
        <v>136</v>
      </c>
      <c r="C50" s="36" t="n">
        <f aca="false">COUNTIF('Vinegar Bath'!$B$9:$B$48,$A50) + COUNTIF('Teriyaki Jerky'!$B$9:$B$48,$A50) + COUNTIF('Gochujangh Jerky'!$B$9:$B$48,$A50) + COUNTIF('Pepper Jerky'!$B$9:$B$48,$A50) + COUNTIF('Karnatka Nati Jerky'!$B$9:$B$48,$A50) + COUNTIF('Kerala fry Jerky'!$B$9:$B$48,$A50) + COUNTIF('Mughlai Jerky'!$B$9:$B$48,$A50) + COUNTIF('Masala Jerky'!$B$9:$B$48,$A50)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2026-08-27T06:18:52Z</dcterms:created>
  <dc:creator>openpyxl</dc:creator>
  <dc:description/>
  <dc:language>en-US</dc:language>
  <cp:lastModifiedBy/>
  <dcterms:modified xsi:type="dcterms:W3CDTF">2026-08-27T06:18:52Z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