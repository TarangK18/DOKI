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tings" sheetId="2" state="visible" r:id="rId4"/>
    <sheet name="Teriyaki" sheetId="3" state="visible" r:id="rId5"/>
    <sheet name="Gochujang" sheetId="4" state="visible" r:id="rId6"/>
    <sheet name="Pepper" sheetId="5" state="visible" r:id="rId7"/>
    <sheet name="Nati" sheetId="6" state="visible" r:id="rId8"/>
    <sheet name="Kerela Fry" sheetId="7" state="visible" r:id="rId9"/>
    <sheet name="Mughlai" sheetId="8" state="visible" r:id="rId10"/>
    <sheet name="Masala" sheetId="9" state="visible" r:id="rId11"/>
    <sheet name="Summary" sheetId="10" state="visible" r:id="rId12"/>
    <sheet name="Ingredients" sheetId="11" state="visible" r:id="rId13"/>
  </sheets>
  <definedNames>
    <definedName function="false" hidden="false" localSheetId="3" name="_xlnm.Print_Area" vbProcedure="false">Gochujang!$A$1:$H$53</definedName>
    <definedName function="false" hidden="false" localSheetId="6" name="_xlnm.Print_Area" vbProcedure="false">'Kerela Fry'!$A$1:$H$53</definedName>
    <definedName function="false" hidden="false" localSheetId="8" name="_xlnm.Print_Area" vbProcedure="false">Masala!$A$1:$H$53</definedName>
    <definedName function="false" hidden="false" localSheetId="7" name="_xlnm.Print_Area" vbProcedure="false">Mughlai!$A$1:$H$53</definedName>
    <definedName function="false" hidden="false" localSheetId="5" name="_xlnm.Print_Area" vbProcedure="false">Nati!$A$1:$H$53</definedName>
    <definedName function="false" hidden="false" localSheetId="4" name="_xlnm.Print_Area" vbProcedure="false">Pepper!$A$1:$H$53</definedName>
    <definedName function="false" hidden="false" localSheetId="2" name="_xlnm.Print_Area" vbProcedure="false">Teriyaki!$A$1:$H$53</definedName>
    <definedName function="false" hidden="false" name="IngredientList" vbProcedure="false">Ingredients!$A$5:$A$50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<sst xmlns="http://schemas.openxmlformats.org/spreadsheetml/2006/main" count="285" uniqueCount="132">
  <si>
    <t xml:space="preserve">DOKI recipe workbook</t>
  </si>
  <si>
    <t xml:space="preserve">One sheet per recipe. Weights are grams per 1 kg of meat.</t>
  </si>
  <si>
    <t xml:space="preserve">How to use</t>
  </si>
  <si>
    <t xml:space="preserve">Open the sheet for a recipe. In the shaded columns type the ingredient name and how many grams of it go into 1 kg of meat. That is all.</t>
  </si>
  <si>
    <t xml:space="preserve">Everything to the right calculates itself: the percentage, the target for a typical batch, which scale should weigh it, and the tolerance that scale can actually hold.</t>
  </si>
  <si>
    <t xml:space="preserve">What the colours mean</t>
  </si>
  <si>
    <t xml:space="preserve">Shaded cells are yours to type in. Everything else is a formula — overwriting one breaks that row.</t>
  </si>
  <si>
    <t xml:space="preserve">A red row means neither scale can weigh that ingredient at this batch size. Split it, premix it, or make the batch bigger.</t>
  </si>
  <si>
    <t xml:space="preserve">An amber row is fine to run, but the scale's resolution is coarser than the recipe's percentage, so it is held to a looser band. The Note column says so.</t>
  </si>
  <si>
    <t xml:space="preserve">Which scale gets what</t>
  </si>
  <si>
    <t xml:space="preserve">The floor scale reads in 5 g steps. Two of those have to fit inside the tolerance before it is enforcing anything, so it only handles targets above 500 g — that is 2 × 5 g ÷ 2 %, on the Settings sheet. Everything smaller goes on the bench scale.</t>
  </si>
  <si>
    <t xml:space="preserve">Change the tolerance percentage or either scale's division on the Settings sheet and all seven recipes re-evaluate.</t>
  </si>
  <si>
    <t xml:space="preserve">About the Teriyaki sheet</t>
  </si>
  <si>
    <t xml:space="preserve">Filled in from 'Recipes for Yield calculation - Teriyaki.csv', using its column 6, which is already grams per 1 kg of meat.</t>
  </si>
  <si>
    <t xml:space="preserve">Two spellings were normalised so the ingredient list stays consistent: 'seasame seed' → 'Sesame seed', and capitalisation made uniform.</t>
  </si>
  <si>
    <t xml:space="preserve">Liquid smoke is in the source sheet with a quantity of 0, so it shows as unweighable here. Either give it a quantity or delete the row.</t>
  </si>
  <si>
    <t xml:space="preserve">The very small spices are below what a floor scale can see. The costing sheet treats the marinade as one premixed line at 255 g per kg of meat, and that is how the station should weigh it too — premix the marinade on the bench scale, then add it as a single ingredient.</t>
  </si>
  <si>
    <t xml:space="preserve">The other six recipes</t>
  </si>
  <si>
    <t xml:space="preserve">Gochujang, Pepper, Nati, Kerela Fry, Mughlai and Masala are set up but empty — the formulas are already in every row. Each has one grey example row showing the format; type over it.</t>
  </si>
  <si>
    <t xml:space="preserve">Feeding the station</t>
  </si>
  <si>
    <t xml:space="preserve">Run  python3 xlsx_to_recipes.py DOKI-Recipes.xlsx  to turn this workbook into the recipes.json the panel reads. It refuses to write a recipe that still has an unweighable ingredient or an untouched example row.</t>
  </si>
  <si>
    <t xml:space="preserve">Settings</t>
  </si>
  <si>
    <t xml:space="preserve">These drive every recipe sheet. Change a number here and all seven recipes re-evaluate.</t>
  </si>
  <si>
    <t xml:space="preserve">Tolerance (percent of target)</t>
  </si>
  <si>
    <t xml:space="preserve">What the recipe asks for. The station uses this too.</t>
  </si>
  <si>
    <t xml:space="preserve">MAIN SCALE — name</t>
  </si>
  <si>
    <t xml:space="preserve">Floor scale</t>
  </si>
  <si>
    <t xml:space="preserve">  division (g)</t>
  </si>
  <si>
    <t xml:space="preserve">Smallest step it reads. From the RS232 frame resolution.</t>
  </si>
  <si>
    <t xml:space="preserve">  capacity (g)</t>
  </si>
  <si>
    <t xml:space="preserve">  usable (g)</t>
  </si>
  <si>
    <t xml:space="preserve">Capacity less the tub's tare.</t>
  </si>
  <si>
    <t xml:space="preserve">SMALL SCALE — name</t>
  </si>
  <si>
    <t xml:space="preserve">Bench scale</t>
  </si>
  <si>
    <t xml:space="preserve">SPEC NOT CONFIRMED — check the label on the scale.</t>
  </si>
  <si>
    <t xml:space="preserve">SPEC NOT CONFIRMED.</t>
  </si>
  <si>
    <t xml:space="preserve">Capacity less the tare of the container you weigh into.</t>
  </si>
  <si>
    <t xml:space="preserve">Crossover — derived</t>
  </si>
  <si>
    <t xml:space="preserve">Below this the main scale cannot hold the tolerance: two of its divisions no longer fit inside the percentage.</t>
  </si>
  <si>
    <t xml:space="preserve">Crossover — override</t>
  </si>
  <si>
    <t xml:space="preserve">Optional. Leave blank to use the derived value. A lower number keeps more ingredients on the floor scale — easier to pour into, looser tolerance, and the recipe sheets say which.</t>
  </si>
  <si>
    <t xml:space="preserve">Crossover in force (g)</t>
  </si>
  <si>
    <t xml:space="preserve">Dead zone check</t>
  </si>
  <si>
    <t xml:space="preserve">Teriyaki</t>
  </si>
  <si>
    <t xml:space="preserve">Type in the shaded cells only. Weights are GRAMS PER 1 KG OF MEAT. Everything to the right is calculated.</t>
  </si>
  <si>
    <t xml:space="preserve">Batch base weight (g)</t>
  </si>
  <si>
    <t xml:space="preserve">A typical batch. Only the Target / Weigh-on / Tolerance columns use it — the station recomputes them from the meat it actually weighs.</t>
  </si>
  <si>
    <t xml:space="preserve">Product ID</t>
  </si>
  <si>
    <t xml:space="preserve">teriyaki</t>
  </si>
  <si>
    <t xml:space="preserve">Bases this applies to</t>
  </si>
  <si>
    <t xml:space="preserve">chicken, pork, beef, mutton, fish</t>
  </si>
  <si>
    <t xml:space="preserve">Flour ingredient</t>
  </si>
  <si>
    <t xml:space="preserve">Water ingredient</t>
  </si>
  <si>
    <t xml:space="preserve">#</t>
  </si>
  <si>
    <t xml:space="preserve">Ingredient</t>
  </si>
  <si>
    <t xml:space="preserve">g per 1 kg meat</t>
  </si>
  <si>
    <t xml:space="preserve">% of meat</t>
  </si>
  <si>
    <t xml:space="preserve">Target in this batch</t>
  </si>
  <si>
    <t xml:space="preserve">Weigh on</t>
  </si>
  <si>
    <t xml:space="preserve">Tolerance ±</t>
  </si>
  <si>
    <t xml:space="preserve">Note</t>
  </si>
  <si>
    <t xml:space="preserve">Teriyaki sauce</t>
  </si>
  <si>
    <t xml:space="preserve">Soy sauce</t>
  </si>
  <si>
    <t xml:space="preserve">Honey</t>
  </si>
  <si>
    <t xml:space="preserve">Tamarind pulp</t>
  </si>
  <si>
    <t xml:space="preserve">White vinegar</t>
  </si>
  <si>
    <t xml:space="preserve">Jaggery powder</t>
  </si>
  <si>
    <t xml:space="preserve">Sea salt</t>
  </si>
  <si>
    <t xml:space="preserve">Sesame seed</t>
  </si>
  <si>
    <t xml:space="preserve">Verdad</t>
  </si>
  <si>
    <t xml:space="preserve">Onion powder</t>
  </si>
  <si>
    <t xml:space="preserve">Chilli flake</t>
  </si>
  <si>
    <t xml:space="preserve">Black pepper</t>
  </si>
  <si>
    <t xml:space="preserve">Yeast extract</t>
  </si>
  <si>
    <t xml:space="preserve">Garlic powder</t>
  </si>
  <si>
    <t xml:space="preserve">Bhut jholokia</t>
  </si>
  <si>
    <t xml:space="preserve">Liquid smoke</t>
  </si>
  <si>
    <t xml:space="preserve">TOTAL</t>
  </si>
  <si>
    <t xml:space="preserve">Batch total with meat (g)</t>
  </si>
  <si>
    <t xml:space="preserve">Gochujang</t>
  </si>
  <si>
    <t xml:space="preserve">gochujang</t>
  </si>
  <si>
    <t xml:space="preserve">Binder (starch)</t>
  </si>
  <si>
    <t xml:space="preserve">Ice water</t>
  </si>
  <si>
    <t xml:space="preserve">Salt</t>
  </si>
  <si>
    <t xml:space="preserve">Pepper</t>
  </si>
  <si>
    <t xml:space="preserve">pepper</t>
  </si>
  <si>
    <t xml:space="preserve">Nati</t>
  </si>
  <si>
    <t xml:space="preserve">nati</t>
  </si>
  <si>
    <t xml:space="preserve">Kerela Fry</t>
  </si>
  <si>
    <t xml:space="preserve">kerela_fry</t>
  </si>
  <si>
    <t xml:space="preserve">Mughlai</t>
  </si>
  <si>
    <t xml:space="preserve">mughlai</t>
  </si>
  <si>
    <t xml:space="preserve">Masala</t>
  </si>
  <si>
    <t xml:space="preserve">masala</t>
  </si>
  <si>
    <t xml:space="preserve">All recipes</t>
  </si>
  <si>
    <t xml:space="preserve">Rolls up every recipe sheet. Nothing to type here.</t>
  </si>
  <si>
    <t xml:space="preserve">Recipe</t>
  </si>
  <si>
    <t xml:space="preserve">Ingredients</t>
  </si>
  <si>
    <t xml:space="preserve">Total g per 1 kg meat</t>
  </si>
  <si>
    <t xml:space="preserve">Total % of meat</t>
  </si>
  <si>
    <t xml:space="preserve">On floor scale</t>
  </si>
  <si>
    <t xml:space="preserve">On bench scale</t>
  </si>
  <si>
    <t xml:space="preserve">Cannot be weighed</t>
  </si>
  <si>
    <t xml:space="preserve">Ingredient list</t>
  </si>
  <si>
    <t xml:space="preserve">Feeds the dropdown on every recipe sheet. Add new names at the bottom — keep one spelling per ingredient.</t>
  </si>
  <si>
    <t xml:space="preserve">Black pepper mix</t>
  </si>
  <si>
    <t xml:space="preserve">Cardamom powder</t>
  </si>
  <si>
    <t xml:space="preserve">Cinnamon powder</t>
  </si>
  <si>
    <t xml:space="preserve">Classic spice mix</t>
  </si>
  <si>
    <t xml:space="preserve">Clove powder</t>
  </si>
  <si>
    <t xml:space="preserve">Coconut oil</t>
  </si>
  <si>
    <t xml:space="preserve">Coriander powder</t>
  </si>
  <si>
    <t xml:space="preserve">Cumin powder</t>
  </si>
  <si>
    <t xml:space="preserve">Curry leaf</t>
  </si>
  <si>
    <t xml:space="preserve">Fennel powder</t>
  </si>
  <si>
    <t xml:space="preserve">Garam masala</t>
  </si>
  <si>
    <t xml:space="preserve">Garlic paste</t>
  </si>
  <si>
    <t xml:space="preserve">Ginger paste</t>
  </si>
  <si>
    <t xml:space="preserve">Ginger-garlic paste</t>
  </si>
  <si>
    <t xml:space="preserve">Gochujang paste</t>
  </si>
  <si>
    <t xml:space="preserve">Lemon juice</t>
  </si>
  <si>
    <t xml:space="preserve">Masala spice mix</t>
  </si>
  <si>
    <t xml:space="preserve">Mustard seed</t>
  </si>
  <si>
    <t xml:space="preserve">Oil</t>
  </si>
  <si>
    <t xml:space="preserve">Onion paste</t>
  </si>
  <si>
    <t xml:space="preserve">Red chilli powder</t>
  </si>
  <si>
    <t xml:space="preserve">Rusk / breadcrumb</t>
  </si>
  <si>
    <t xml:space="preserve">Schezwan paste</t>
  </si>
  <si>
    <t xml:space="preserve">Sugar</t>
  </si>
  <si>
    <t xml:space="preserve">Turmeric</t>
  </si>
  <si>
    <t xml:space="preserve">Vinegar</t>
  </si>
  <si>
    <t xml:space="preserve">Water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</si>
</sst>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"/>
    <numFmt numFmtId="167" formatCode="#,##0"/>
    <numFmt numFmtId="168" formatCode="0.00"/>
    <numFmt numFmtId="169" formatCode="General"/>
    <numFmt numFmtId="170" formatCode="0.000%"/>
    <numFmt numFmtId="171" formatCode="#,##0.00"/>
    <numFmt numFmtId="172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55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55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3CD"/>
      </patternFill>
    </fill>
    <fill>
      <patternFill patternType="solid">
        <fgColor rgb="FF1F3552"/>
        <bgColor rgb="FF003366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  <sz val="10"/>
      </font>
      <fill>
        <patternFill>
          <bgColor rgb="FFFBD5D5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BD5D5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5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8" customFormat="false" ht="15" hidden="false" customHeight="true" outlineLevel="0" collapsed="false">
      <c r="A8" s="3" t="s">
        <v>5</v>
      </c>
      <c r="B8" s="3"/>
      <c r="C8" s="3"/>
      <c r="D8" s="3"/>
      <c r="E8" s="3"/>
      <c r="F8" s="3"/>
    </row>
    <row r="9" customFormat="false" ht="27.75" hidden="false" customHeight="true" outlineLevel="0" collapsed="false">
      <c r="A9" s="4" t="s">
        <v>6</v>
      </c>
      <c r="B9" s="4"/>
      <c r="C9" s="4"/>
      <c r="D9" s="4"/>
      <c r="E9" s="4"/>
      <c r="F9" s="4"/>
    </row>
    <row r="10" customFormat="false" ht="27.75" hidden="false" customHeight="true" outlineLevel="0" collapsed="false">
      <c r="A10" s="4" t="s">
        <v>7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3" customFormat="false" ht="15" hidden="false" customHeight="true" outlineLevel="0" collapsed="false">
      <c r="A13" s="3" t="s">
        <v>9</v>
      </c>
      <c r="B13" s="3"/>
      <c r="C13" s="3"/>
      <c r="D13" s="3"/>
      <c r="E13" s="3"/>
      <c r="F13" s="3"/>
    </row>
    <row r="14" customFormat="false" ht="27.75" hidden="false" customHeight="true" outlineLevel="0" collapsed="false">
      <c r="A14" s="4" t="s">
        <v>10</v>
      </c>
      <c r="B14" s="4"/>
      <c r="C14" s="4"/>
      <c r="D14" s="4"/>
      <c r="E14" s="4"/>
      <c r="F14" s="4"/>
    </row>
    <row r="15" customFormat="false" ht="27.75" hidden="false" customHeight="true" outlineLevel="0" collapsed="false">
      <c r="A15" s="4" t="s">
        <v>11</v>
      </c>
      <c r="B15" s="4"/>
      <c r="C15" s="4"/>
      <c r="D15" s="4"/>
      <c r="E15" s="4"/>
      <c r="F15" s="4"/>
    </row>
    <row r="17" customFormat="false" ht="15" hidden="false" customHeight="true" outlineLevel="0" collapsed="false">
      <c r="A17" s="3" t="s">
        <v>12</v>
      </c>
      <c r="B17" s="3"/>
      <c r="C17" s="3"/>
      <c r="D17" s="3"/>
      <c r="E17" s="3"/>
      <c r="F17" s="3"/>
    </row>
    <row r="18" customFormat="false" ht="27.75" hidden="false" customHeight="true" outlineLevel="0" collapsed="false">
      <c r="A18" s="4" t="s">
        <v>13</v>
      </c>
      <c r="B18" s="4"/>
      <c r="C18" s="4"/>
      <c r="D18" s="4"/>
      <c r="E18" s="4"/>
      <c r="F18" s="4"/>
    </row>
    <row r="19" customFormat="false" ht="27.75" hidden="false" customHeight="true" outlineLevel="0" collapsed="false">
      <c r="A19" s="4" t="s">
        <v>14</v>
      </c>
      <c r="B19" s="4"/>
      <c r="C19" s="4"/>
      <c r="D19" s="4"/>
      <c r="E19" s="4"/>
      <c r="F19" s="4"/>
    </row>
    <row r="20" customFormat="false" ht="27.75" hidden="false" customHeight="true" outlineLevel="0" collapsed="false">
      <c r="A20" s="4" t="s">
        <v>15</v>
      </c>
      <c r="B20" s="4"/>
      <c r="C20" s="4"/>
      <c r="D20" s="4"/>
      <c r="E20" s="4"/>
      <c r="F20" s="4"/>
    </row>
    <row r="21" customFormat="false" ht="27.75" hidden="false" customHeight="true" outlineLevel="0" collapsed="false">
      <c r="A21" s="4" t="s">
        <v>16</v>
      </c>
      <c r="B21" s="4"/>
      <c r="C21" s="4"/>
      <c r="D21" s="4"/>
      <c r="E21" s="4"/>
      <c r="F21" s="4"/>
    </row>
    <row r="23" customFormat="false" ht="15" hidden="false" customHeight="true" outlineLevel="0" collapsed="false">
      <c r="A23" s="3" t="s">
        <v>17</v>
      </c>
      <c r="B23" s="3"/>
      <c r="C23" s="3"/>
      <c r="D23" s="3"/>
      <c r="E23" s="3"/>
      <c r="F23" s="3"/>
    </row>
    <row r="24" customFormat="false" ht="27.75" hidden="false" customHeight="true" outlineLevel="0" collapsed="false">
      <c r="A24" s="4" t="s">
        <v>18</v>
      </c>
      <c r="B24" s="4"/>
      <c r="C24" s="4"/>
      <c r="D24" s="4"/>
      <c r="E24" s="4"/>
      <c r="F24" s="4"/>
    </row>
    <row r="26" customFormat="false" ht="15" hidden="false" customHeight="true" outlineLevel="0" collapsed="false">
      <c r="A26" s="3" t="s">
        <v>19</v>
      </c>
      <c r="B26" s="3"/>
      <c r="C26" s="3"/>
      <c r="D26" s="3"/>
      <c r="E26" s="3"/>
      <c r="F26" s="3"/>
    </row>
    <row r="27" customFormat="false" ht="27.75" hidden="false" customHeight="true" outlineLevel="0" collapsed="false">
      <c r="A27" s="4" t="s">
        <v>20</v>
      </c>
      <c r="B27" s="4"/>
      <c r="C27" s="4"/>
      <c r="D27" s="4"/>
      <c r="E27" s="4"/>
      <c r="F27" s="4"/>
    </row>
  </sheetData>
  <mergeCells count="21">
    <mergeCell ref="A1:H1"/>
    <mergeCell ref="A2:H2"/>
    <mergeCell ref="A4:F4"/>
    <mergeCell ref="A5:F5"/>
    <mergeCell ref="A6:F6"/>
    <mergeCell ref="A8:F8"/>
    <mergeCell ref="A9:F9"/>
    <mergeCell ref="A10:F10"/>
    <mergeCell ref="A11:F11"/>
    <mergeCell ref="A13:F13"/>
    <mergeCell ref="A14:F14"/>
    <mergeCell ref="A15:F15"/>
    <mergeCell ref="A17:F17"/>
    <mergeCell ref="A18:F18"/>
    <mergeCell ref="A19:F19"/>
    <mergeCell ref="A20:F20"/>
    <mergeCell ref="A21:F21"/>
    <mergeCell ref="A23:F23"/>
    <mergeCell ref="A24:F24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23</v>
      </c>
      <c r="B4" s="6" t="n">
        <v>0.02</v>
      </c>
      <c r="C4" s="7" t="s">
        <v>24</v>
      </c>
    </row>
    <row r="6" customFormat="false" ht="15" hidden="false" customHeight="false" outlineLevel="0" collapsed="false">
      <c r="A6" s="5" t="s">
        <v>25</v>
      </c>
      <c r="B6" s="8" t="s">
        <v>26</v>
      </c>
    </row>
    <row r="7" customFormat="false" ht="15" hidden="false" customHeight="false" outlineLevel="0" collapsed="false">
      <c r="A7" s="9" t="s">
        <v>27</v>
      </c>
      <c r="B7" s="10" t="n">
        <v>5</v>
      </c>
      <c r="C7" s="7" t="s">
        <v>28</v>
      </c>
    </row>
    <row r="8" customFormat="false" ht="15" hidden="false" customHeight="false" outlineLevel="0" collapsed="false">
      <c r="A8" s="9" t="s">
        <v>29</v>
      </c>
      <c r="B8" s="11" t="n">
        <v>50000</v>
      </c>
    </row>
    <row r="9" customFormat="false" ht="15" hidden="false" customHeight="false" outlineLevel="0" collapsed="false">
      <c r="A9" s="9" t="s">
        <v>30</v>
      </c>
      <c r="B9" s="11" t="n">
        <v>50000</v>
      </c>
      <c r="C9" s="7" t="s">
        <v>31</v>
      </c>
    </row>
    <row r="11" customFormat="false" ht="15" hidden="false" customHeight="false" outlineLevel="0" collapsed="false">
      <c r="A11" s="5" t="s">
        <v>32</v>
      </c>
      <c r="B11" s="8" t="s">
        <v>33</v>
      </c>
    </row>
    <row r="12" customFormat="false" ht="15" hidden="false" customHeight="false" outlineLevel="0" collapsed="false">
      <c r="A12" s="9" t="s">
        <v>27</v>
      </c>
      <c r="B12" s="12" t="n">
        <v>0.1</v>
      </c>
      <c r="C12" s="7" t="s">
        <v>34</v>
      </c>
    </row>
    <row r="13" customFormat="false" ht="15" hidden="false" customHeight="false" outlineLevel="0" collapsed="false">
      <c r="A13" s="9" t="s">
        <v>29</v>
      </c>
      <c r="B13" s="11" t="n">
        <v>3000</v>
      </c>
      <c r="C13" s="7" t="s">
        <v>35</v>
      </c>
    </row>
    <row r="14" customFormat="false" ht="15" hidden="false" customHeight="false" outlineLevel="0" collapsed="false">
      <c r="A14" s="9" t="s">
        <v>30</v>
      </c>
      <c r="B14" s="11" t="n">
        <v>2000</v>
      </c>
      <c r="C14" s="7" t="s">
        <v>36</v>
      </c>
    </row>
    <row r="17" customFormat="false" ht="15" hidden="false" customHeight="false" outlineLevel="0" collapsed="false">
      <c r="A17" s="5" t="s">
        <v>37</v>
      </c>
      <c r="B17" s="13" t="n">
        <f aca="false">2*Settings!$B$7/Settings!$B$4</f>
        <v>500</v>
      </c>
      <c r="C17" s="7" t="s">
        <v>38</v>
      </c>
    </row>
    <row r="18" customFormat="false" ht="15" hidden="false" customHeight="false" outlineLevel="0" collapsed="false">
      <c r="A18" s="0" t="s">
        <v>39</v>
      </c>
      <c r="B18" s="11"/>
      <c r="C18" s="7" t="s">
        <v>40</v>
      </c>
    </row>
    <row r="19" customFormat="false" ht="15" hidden="false" customHeight="false" outlineLevel="0" collapsed="false">
      <c r="A19" s="5" t="s">
        <v>41</v>
      </c>
      <c r="B19" s="14" t="n">
        <f aca="false">IF(B18="",B17,B18)</f>
        <v>500</v>
      </c>
    </row>
    <row r="21" customFormat="false" ht="15" hidden="false" customHeight="false" outlineLevel="0" collapsed="false">
      <c r="A21" s="5" t="s">
        <v>42</v>
      </c>
      <c r="B21" s="15" t="str">
        <f aca="false">IF(Settings!$B$14&gt;=Settings!$B$19,"None — the two scales meet","WARNING: nothing can weigh "&amp;TEXT(Settings!$B$14,"#,##0")&amp;" to "&amp;TEXT(Settings!$B$19,"#,##0")&amp;" g")</f>
        <v>None — the two scales meet</v>
      </c>
      <c r="C21" s="15"/>
      <c r="D21" s="15"/>
      <c r="E21" s="15"/>
    </row>
  </sheetData>
  <mergeCells count="3">
    <mergeCell ref="A1:H1"/>
    <mergeCell ref="A2:H2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45</v>
      </c>
      <c r="B4" s="16"/>
      <c r="C4" s="17" t="n">
        <v>3200</v>
      </c>
      <c r="D4" s="2" t="s">
        <v>46</v>
      </c>
      <c r="E4" s="2"/>
      <c r="F4" s="2"/>
      <c r="G4" s="2"/>
      <c r="H4" s="2"/>
    </row>
    <row r="5" customFormat="false" ht="15" hidden="false" customHeight="false" outlineLevel="0" collapsed="false">
      <c r="A5" s="16" t="s">
        <v>47</v>
      </c>
      <c r="B5" s="16"/>
      <c r="C5" s="8" t="s">
        <v>48</v>
      </c>
      <c r="D5" s="16" t="s">
        <v>49</v>
      </c>
      <c r="E5" s="16"/>
      <c r="F5" s="18" t="s">
        <v>50</v>
      </c>
      <c r="G5" s="18"/>
      <c r="H5" s="18"/>
    </row>
    <row r="6" customFormat="false" ht="15" hidden="false" customHeight="false" outlineLevel="0" collapsed="false">
      <c r="A6" s="16" t="s">
        <v>51</v>
      </c>
      <c r="B6" s="16"/>
      <c r="C6" s="8"/>
      <c r="D6" s="16" t="s">
        <v>52</v>
      </c>
      <c r="E6" s="16"/>
      <c r="F6" s="18"/>
      <c r="G6" s="18"/>
      <c r="H6" s="18"/>
    </row>
    <row r="7" customFormat="false" ht="23.85" hidden="false" customHeight="false" outlineLevel="0" collapsed="false">
      <c r="A7" s="19" t="s">
        <v>53</v>
      </c>
      <c r="B7" s="19" t="s">
        <v>54</v>
      </c>
      <c r="C7" s="19" t="s">
        <v>55</v>
      </c>
      <c r="D7" s="19" t="s">
        <v>56</v>
      </c>
      <c r="E7" s="19" t="s">
        <v>57</v>
      </c>
      <c r="F7" s="19" t="s">
        <v>58</v>
      </c>
      <c r="G7" s="19" t="s">
        <v>59</v>
      </c>
      <c r="H7" s="19" t="s">
        <v>60</v>
      </c>
    </row>
    <row r="8" customFormat="false" ht="15" hidden="false" customHeight="false" outlineLevel="0" collapsed="false">
      <c r="A8" s="20" t="n">
        <f aca="false">IF($B8="","",1)</f>
        <v>1</v>
      </c>
      <c r="B8" s="21" t="s">
        <v>61</v>
      </c>
      <c r="C8" s="22" t="n">
        <v>73</v>
      </c>
      <c r="D8" s="23" t="n">
        <f aca="false">IF($B8="","",$C8/1000)</f>
        <v>0.073</v>
      </c>
      <c r="E8" s="24" t="n">
        <f aca="false">IF($B8="","",$D8*$C$4)</f>
        <v>233.6</v>
      </c>
      <c r="F8" s="25" t="str">
        <f aca="false">IF($B8="","",IF($E8&lt;=0,"NEITHER — zero",IF($E8&gt;=Settings!$B$19,Settings!$B$6,IF($E8&gt;Settings!$B$14,"NEITHER — over bench capacity",IF($E8&gt;=2*Settings!$B$12,Settings!$B$11,"NEITHER — under bench resolution")))))</f>
        <v>Bench scale</v>
      </c>
      <c r="G8" s="24" t="n">
        <f aca="false">IF($B8="","",IF($F8=Settings!$B$6,MAX(2*Settings!$B$7,Settings!$B$4*$E8),IF($F8=Settings!$B$11,MAX(2*Settings!$B$12,Settings!$B$4*$E8),"")))</f>
        <v>4.672</v>
      </c>
      <c r="H8" s="26" t="str">
        <f aca="false">IF($B8="","",IF(LEFT($F8,7)="NEITHER","Cannot be weighed — split it, premix it, or raise the batch size",IF($G8&gt;Settings!$B$4*$E8+0.0001,"Held to the scale's resolution, not "&amp;TEXT(Settings!$B$4,"0%"),"")))</f>
        <v/>
      </c>
    </row>
    <row r="9" customFormat="false" ht="15" hidden="false" customHeight="false" outlineLevel="0" collapsed="false">
      <c r="A9" s="20" t="n">
        <f aca="false">IF($B9="","",2)</f>
        <v>2</v>
      </c>
      <c r="B9" s="21" t="s">
        <v>62</v>
      </c>
      <c r="C9" s="22" t="n">
        <v>46.4</v>
      </c>
      <c r="D9" s="23" t="n">
        <f aca="false">IF($B9="","",$C9/1000)</f>
        <v>0.0464</v>
      </c>
      <c r="E9" s="24" t="n">
        <f aca="false">IF($B9="","",$D9*$C$4)</f>
        <v>148.48</v>
      </c>
      <c r="F9" s="25" t="str">
        <f aca="false">IF($B9="","",IF($E9&lt;=0,"NEITHER — zero",IF($E9&gt;=Settings!$B$19,Settings!$B$6,IF($E9&gt;Settings!$B$14,"NEITHER — over bench capacity",IF($E9&gt;=2*Settings!$B$12,Settings!$B$11,"NEITHER — under bench resolution")))))</f>
        <v>Bench scale</v>
      </c>
      <c r="G9" s="24" t="n">
        <f aca="false">IF($B9="","",IF($F9=Settings!$B$6,MAX(2*Settings!$B$7,Settings!$B$4*$E9),IF($F9=Settings!$B$11,MAX(2*Settings!$B$12,Settings!$B$4*$E9),"")))</f>
        <v>2.9696</v>
      </c>
      <c r="H9" s="26" t="str">
        <f aca="false">IF($B9="","",IF(LEFT($F9,7)="NEITHER","Cannot be weighed — split it, premix it, or raise the batch size",IF($G9&gt;Settings!$B$4*$E9+0.0001,"Held to the scale's resolution, not "&amp;TEXT(Settings!$B$4,"0%"),"")))</f>
        <v/>
      </c>
    </row>
    <row r="10" customFormat="false" ht="15" hidden="false" customHeight="false" outlineLevel="0" collapsed="false">
      <c r="A10" s="20" t="n">
        <f aca="false">IF($B10="","",3)</f>
        <v>3</v>
      </c>
      <c r="B10" s="21" t="s">
        <v>63</v>
      </c>
      <c r="C10" s="22" t="n">
        <v>42</v>
      </c>
      <c r="D10" s="23" t="n">
        <f aca="false">IF($B10="","",$C10/1000)</f>
        <v>0.042</v>
      </c>
      <c r="E10" s="24" t="n">
        <f aca="false">IF($B10="","",$D10*$C$4)</f>
        <v>134.4</v>
      </c>
      <c r="F10" s="25" t="str">
        <f aca="false">IF($B10="","",IF($E10&lt;=0,"NEITHER — zero",IF($E10&gt;=Settings!$B$19,Settings!$B$6,IF($E10&gt;Settings!$B$14,"NEITHER — over bench capacity",IF($E10&gt;=2*Settings!$B$12,Settings!$B$11,"NEITHER — under bench resolution")))))</f>
        <v>Bench scale</v>
      </c>
      <c r="G10" s="24" t="n">
        <f aca="false">IF($B10="","",IF($F10=Settings!$B$6,MAX(2*Settings!$B$7,Settings!$B$4*$E10),IF($F10=Settings!$B$11,MAX(2*Settings!$B$12,Settings!$B$4*$E10),"")))</f>
        <v>2.688</v>
      </c>
      <c r="H10" s="26" t="str">
        <f aca="false">IF($B10="","",IF(LEFT($F10,7)="NEITHER","Cannot be weighed — split it, premix it, or raise the batch size",IF($G10&gt;Settings!$B$4*$E10+0.0001,"Held to the scale's resolution, not "&amp;TEXT(Settings!$B$4,"0%"),"")))</f>
        <v/>
      </c>
    </row>
    <row r="11" customFormat="false" ht="15" hidden="false" customHeight="false" outlineLevel="0" collapsed="false">
      <c r="A11" s="20" t="n">
        <f aca="false">IF($B11="","",4)</f>
        <v>4</v>
      </c>
      <c r="B11" s="21" t="s">
        <v>64</v>
      </c>
      <c r="C11" s="22" t="n">
        <v>25.4</v>
      </c>
      <c r="D11" s="23" t="n">
        <f aca="false">IF($B11="","",$C11/1000)</f>
        <v>0.0254</v>
      </c>
      <c r="E11" s="24" t="n">
        <f aca="false">IF($B11="","",$D11*$C$4)</f>
        <v>81.28</v>
      </c>
      <c r="F11" s="25" t="str">
        <f aca="false">IF($B11="","",IF($E11&lt;=0,"NEITHER — zero",IF($E11&gt;=Settings!$B$19,Settings!$B$6,IF($E11&gt;Settings!$B$14,"NEITHER — over bench capacity",IF($E11&gt;=2*Settings!$B$12,Settings!$B$11,"NEITHER — under bench resolution")))))</f>
        <v>Bench scale</v>
      </c>
      <c r="G11" s="24" t="n">
        <f aca="false">IF($B11="","",IF($F11=Settings!$B$6,MAX(2*Settings!$B$7,Settings!$B$4*$E11),IF($F11=Settings!$B$11,MAX(2*Settings!$B$12,Settings!$B$4*$E11),"")))</f>
        <v>1.6256</v>
      </c>
      <c r="H11" s="26" t="str">
        <f aca="false">IF($B11="","",IF(LEFT($F11,7)="NEITHER","Cannot be weighed — split it, premix it, or raise the batch size",IF($G11&gt;Settings!$B$4*$E11+0.0001,"Held to the scale's resolution, not "&amp;TEXT(Settings!$B$4,"0%"),"")))</f>
        <v/>
      </c>
    </row>
    <row r="12" customFormat="false" ht="15" hidden="false" customHeight="false" outlineLevel="0" collapsed="false">
      <c r="A12" s="20" t="n">
        <f aca="false">IF($B12="","",5)</f>
        <v>5</v>
      </c>
      <c r="B12" s="21" t="s">
        <v>65</v>
      </c>
      <c r="C12" s="22" t="n">
        <v>25.4</v>
      </c>
      <c r="D12" s="23" t="n">
        <f aca="false">IF($B12="","",$C12/1000)</f>
        <v>0.0254</v>
      </c>
      <c r="E12" s="24" t="n">
        <f aca="false">IF($B12="","",$D12*$C$4)</f>
        <v>81.28</v>
      </c>
      <c r="F12" s="25" t="str">
        <f aca="false">IF($B12="","",IF($E12&lt;=0,"NEITHER — zero",IF($E12&gt;=Settings!$B$19,Settings!$B$6,IF($E12&gt;Settings!$B$14,"NEITHER — over bench capacity",IF($E12&gt;=2*Settings!$B$12,Settings!$B$11,"NEITHER — under bench resolution")))))</f>
        <v>Bench scale</v>
      </c>
      <c r="G12" s="24" t="n">
        <f aca="false">IF($B12="","",IF($F12=Settings!$B$6,MAX(2*Settings!$B$7,Settings!$B$4*$E12),IF($F12=Settings!$B$11,MAX(2*Settings!$B$12,Settings!$B$4*$E12),"")))</f>
        <v>1.6256</v>
      </c>
      <c r="H12" s="26" t="str">
        <f aca="false">IF($B12="","",IF(LEFT($F12,7)="NEITHER","Cannot be weighed — split it, premix it, or raise the batch size",IF($G12&gt;Settings!$B$4*$E12+0.0001,"Held to the scale's resolution, not "&amp;TEXT(Settings!$B$4,"0%"),"")))</f>
        <v/>
      </c>
    </row>
    <row r="13" customFormat="false" ht="15" hidden="false" customHeight="false" outlineLevel="0" collapsed="false">
      <c r="A13" s="20" t="n">
        <f aca="false">IF($B13="","",6)</f>
        <v>6</v>
      </c>
      <c r="B13" s="21" t="s">
        <v>66</v>
      </c>
      <c r="C13" s="22" t="n">
        <v>23.2</v>
      </c>
      <c r="D13" s="23" t="n">
        <f aca="false">IF($B13="","",$C13/1000)</f>
        <v>0.0232</v>
      </c>
      <c r="E13" s="24" t="n">
        <f aca="false">IF($B13="","",$D13*$C$4)</f>
        <v>74.24</v>
      </c>
      <c r="F13" s="25" t="str">
        <f aca="false">IF($B13="","",IF($E13&lt;=0,"NEITHER — zero",IF($E13&gt;=Settings!$B$19,Settings!$B$6,IF($E13&gt;Settings!$B$14,"NEITHER — over bench capacity",IF($E13&gt;=2*Settings!$B$12,Settings!$B$11,"NEITHER — under bench resolution")))))</f>
        <v>Bench scale</v>
      </c>
      <c r="G13" s="24" t="n">
        <f aca="false">IF($B13="","",IF($F13=Settings!$B$6,MAX(2*Settings!$B$7,Settings!$B$4*$E13),IF($F13=Settings!$B$11,MAX(2*Settings!$B$12,Settings!$B$4*$E13),"")))</f>
        <v>1.4848</v>
      </c>
      <c r="H13" s="26" t="str">
        <f aca="false">IF($B13="","",IF(LEFT($F13,7)="NEITHER","Cannot be weighed — split it, premix it, or raise the batch size",IF($G13&gt;Settings!$B$4*$E13+0.0001,"Held to the scale's resolution, not "&amp;TEXT(Settings!$B$4,"0%"),"")))</f>
        <v/>
      </c>
    </row>
    <row r="14" customFormat="false" ht="15" hidden="false" customHeight="false" outlineLevel="0" collapsed="false">
      <c r="A14" s="20" t="n">
        <f aca="false">IF($B14="","",7)</f>
        <v>7</v>
      </c>
      <c r="B14" s="21" t="s">
        <v>67</v>
      </c>
      <c r="C14" s="22" t="n">
        <v>7.5</v>
      </c>
      <c r="D14" s="23" t="n">
        <f aca="false">IF($B14="","",$C14/1000)</f>
        <v>0.0075</v>
      </c>
      <c r="E14" s="24" t="n">
        <f aca="false">IF($B14="","",$D14*$C$4)</f>
        <v>24</v>
      </c>
      <c r="F14" s="25" t="str">
        <f aca="false">IF($B14="","",IF($E14&lt;=0,"NEITHER — zero",IF($E14&gt;=Settings!$B$19,Settings!$B$6,IF($E14&gt;Settings!$B$14,"NEITHER — over bench capacity",IF($E14&gt;=2*Settings!$B$12,Settings!$B$11,"NEITHER — under bench resolution")))))</f>
        <v>Bench scale</v>
      </c>
      <c r="G14" s="24" t="n">
        <f aca="false">IF($B14="","",IF($F14=Settings!$B$6,MAX(2*Settings!$B$7,Settings!$B$4*$E14),IF($F14=Settings!$B$11,MAX(2*Settings!$B$12,Settings!$B$4*$E14),"")))</f>
        <v>0.48</v>
      </c>
      <c r="H14" s="26" t="str">
        <f aca="false">IF($B14="","",IF(LEFT($F14,7)="NEITHER","Cannot be weighed — split it, premix it, or raise the batch size",IF($G14&gt;Settings!$B$4*$E14+0.0001,"Held to the scale's resolution, not "&amp;TEXT(Settings!$B$4,"0%"),"")))</f>
        <v/>
      </c>
    </row>
    <row r="15" customFormat="false" ht="15" hidden="false" customHeight="false" outlineLevel="0" collapsed="false">
      <c r="A15" s="20" t="n">
        <f aca="false">IF($B15="","",8)</f>
        <v>8</v>
      </c>
      <c r="B15" s="21" t="s">
        <v>68</v>
      </c>
      <c r="C15" s="22" t="n">
        <v>4.5</v>
      </c>
      <c r="D15" s="23" t="n">
        <f aca="false">IF($B15="","",$C15/1000)</f>
        <v>0.0045</v>
      </c>
      <c r="E15" s="24" t="n">
        <f aca="false">IF($B15="","",$D15*$C$4)</f>
        <v>14.4</v>
      </c>
      <c r="F15" s="25" t="str">
        <f aca="false">IF($B15="","",IF($E15&lt;=0,"NEITHER — zero",IF($E15&gt;=Settings!$B$19,Settings!$B$6,IF($E15&gt;Settings!$B$14,"NEITHER — over bench capacity",IF($E15&gt;=2*Settings!$B$12,Settings!$B$11,"NEITHER — under bench resolution")))))</f>
        <v>Bench scale</v>
      </c>
      <c r="G15" s="24" t="n">
        <f aca="false">IF($B15="","",IF($F15=Settings!$B$6,MAX(2*Settings!$B$7,Settings!$B$4*$E15),IF($F15=Settings!$B$11,MAX(2*Settings!$B$12,Settings!$B$4*$E15),"")))</f>
        <v>0.288</v>
      </c>
      <c r="H15" s="26" t="str">
        <f aca="false">IF($B15="","",IF(LEFT($F15,7)="NEITHER","Cannot be weighed — split it, premix it, or raise the batch size",IF($G15&gt;Settings!$B$4*$E15+0.0001,"Held to the scale's resolution, not "&amp;TEXT(Settings!$B$4,"0%"),"")))</f>
        <v/>
      </c>
    </row>
    <row r="16" customFormat="false" ht="15" hidden="false" customHeight="false" outlineLevel="0" collapsed="false">
      <c r="A16" s="20" t="n">
        <f aca="false">IF($B16="","",9)</f>
        <v>9</v>
      </c>
      <c r="B16" s="21" t="s">
        <v>69</v>
      </c>
      <c r="C16" s="22" t="n">
        <v>2</v>
      </c>
      <c r="D16" s="23" t="n">
        <f aca="false">IF($B16="","",$C16/1000)</f>
        <v>0.002</v>
      </c>
      <c r="E16" s="24" t="n">
        <f aca="false">IF($B16="","",$D16*$C$4)</f>
        <v>6.4</v>
      </c>
      <c r="F16" s="25" t="str">
        <f aca="false">IF($B16="","",IF($E16&lt;=0,"NEITHER — zero",IF($E16&gt;=Settings!$B$19,Settings!$B$6,IF($E16&gt;Settings!$B$14,"NEITHER — over bench capacity",IF($E16&gt;=2*Settings!$B$12,Settings!$B$11,"NEITHER — under bench resolution")))))</f>
        <v>Bench scale</v>
      </c>
      <c r="G16" s="24" t="n">
        <f aca="false">IF($B16="","",IF($F16=Settings!$B$6,MAX(2*Settings!$B$7,Settings!$B$4*$E16),IF($F16=Settings!$B$11,MAX(2*Settings!$B$12,Settings!$B$4*$E16),"")))</f>
        <v>0.2</v>
      </c>
      <c r="H16" s="26" t="str">
        <f aca="false">IF($B16="","",IF(LEFT($F16,7)="NEITHER","Cannot be weighed — split it, premix it, or raise the batch size",IF($G16&gt;Settings!$B$4*$E16+0.0001,"Held to the scale's resolution, not "&amp;TEXT(Settings!$B$4,"0%"),"")))</f>
        <v>Held to the scale's resolution, not 2%</v>
      </c>
    </row>
    <row r="17" customFormat="false" ht="15" hidden="false" customHeight="false" outlineLevel="0" collapsed="false">
      <c r="A17" s="20" t="n">
        <f aca="false">IF($B17="","",10)</f>
        <v>10</v>
      </c>
      <c r="B17" s="21" t="s">
        <v>70</v>
      </c>
      <c r="C17" s="22" t="n">
        <v>1.4</v>
      </c>
      <c r="D17" s="23" t="n">
        <f aca="false">IF($B17="","",$C17/1000)</f>
        <v>0.0014</v>
      </c>
      <c r="E17" s="24" t="n">
        <f aca="false">IF($B17="","",$D17*$C$4)</f>
        <v>4.48</v>
      </c>
      <c r="F17" s="25" t="str">
        <f aca="false">IF($B17="","",IF($E17&lt;=0,"NEITHER — zero",IF($E17&gt;=Settings!$B$19,Settings!$B$6,IF($E17&gt;Settings!$B$14,"NEITHER — over bench capacity",IF($E17&gt;=2*Settings!$B$12,Settings!$B$11,"NEITHER — under bench resolution")))))</f>
        <v>Bench scale</v>
      </c>
      <c r="G17" s="24" t="n">
        <f aca="false">IF($B17="","",IF($F17=Settings!$B$6,MAX(2*Settings!$B$7,Settings!$B$4*$E17),IF($F17=Settings!$B$11,MAX(2*Settings!$B$12,Settings!$B$4*$E17),"")))</f>
        <v>0.2</v>
      </c>
      <c r="H17" s="26" t="str">
        <f aca="false">IF($B17="","",IF(LEFT($F17,7)="NEITHER","Cannot be weighed — split it, premix it, or raise the batch size",IF($G17&gt;Settings!$B$4*$E17+0.0001,"Held to the scale's resolution, not "&amp;TEXT(Settings!$B$4,"0%"),"")))</f>
        <v>Held to the scale's resolution, not 2%</v>
      </c>
    </row>
    <row r="18" customFormat="false" ht="15" hidden="false" customHeight="false" outlineLevel="0" collapsed="false">
      <c r="A18" s="20" t="n">
        <f aca="false">IF($B18="","",11)</f>
        <v>11</v>
      </c>
      <c r="B18" s="21" t="s">
        <v>71</v>
      </c>
      <c r="C18" s="22" t="n">
        <v>1.3</v>
      </c>
      <c r="D18" s="23" t="n">
        <f aca="false">IF($B18="","",$C18/1000)</f>
        <v>0.0013</v>
      </c>
      <c r="E18" s="24" t="n">
        <f aca="false">IF($B18="","",$D18*$C$4)</f>
        <v>4.16</v>
      </c>
      <c r="F18" s="25" t="str">
        <f aca="false">IF($B18="","",IF($E18&lt;=0,"NEITHER — zero",IF($E18&gt;=Settings!$B$19,Settings!$B$6,IF($E18&gt;Settings!$B$14,"NEITHER — over bench capacity",IF($E18&gt;=2*Settings!$B$12,Settings!$B$11,"NEITHER — under bench resolution")))))</f>
        <v>Bench scale</v>
      </c>
      <c r="G18" s="24" t="n">
        <f aca="false">IF($B18="","",IF($F18=Settings!$B$6,MAX(2*Settings!$B$7,Settings!$B$4*$E18),IF($F18=Settings!$B$11,MAX(2*Settings!$B$12,Settings!$B$4*$E18),"")))</f>
        <v>0.2</v>
      </c>
      <c r="H18" s="26" t="str">
        <f aca="false">IF($B18="","",IF(LEFT($F18,7)="NEITHER","Cannot be weighed — split it, premix it, or raise the batch size",IF($G18&gt;Settings!$B$4*$E18+0.0001,"Held to the scale's resolution, not "&amp;TEXT(Settings!$B$4,"0%"),"")))</f>
        <v>Held to the scale's resolution, not 2%</v>
      </c>
    </row>
    <row r="19" customFormat="false" ht="15" hidden="false" customHeight="false" outlineLevel="0" collapsed="false">
      <c r="A19" s="20" t="n">
        <f aca="false">IF($B19="","",12)</f>
        <v>12</v>
      </c>
      <c r="B19" s="21" t="s">
        <v>72</v>
      </c>
      <c r="C19" s="22" t="n">
        <v>1.1</v>
      </c>
      <c r="D19" s="23" t="n">
        <f aca="false">IF($B19="","",$C19/1000)</f>
        <v>0.0011</v>
      </c>
      <c r="E19" s="24" t="n">
        <f aca="false">IF($B19="","",$D19*$C$4)</f>
        <v>3.52</v>
      </c>
      <c r="F19" s="25" t="str">
        <f aca="false">IF($B19="","",IF($E19&lt;=0,"NEITHER — zero",IF($E19&gt;=Settings!$B$19,Settings!$B$6,IF($E19&gt;Settings!$B$14,"NEITHER — over bench capacity",IF($E19&gt;=2*Settings!$B$12,Settings!$B$11,"NEITHER — under bench resolution")))))</f>
        <v>Bench scale</v>
      </c>
      <c r="G19" s="24" t="n">
        <f aca="false">IF($B19="","",IF($F19=Settings!$B$6,MAX(2*Settings!$B$7,Settings!$B$4*$E19),IF($F19=Settings!$B$11,MAX(2*Settings!$B$12,Settings!$B$4*$E19),"")))</f>
        <v>0.2</v>
      </c>
      <c r="H19" s="26" t="str">
        <f aca="false">IF($B19="","",IF(LEFT($F19,7)="NEITHER","Cannot be weighed — split it, premix it, or raise the batch size",IF($G19&gt;Settings!$B$4*$E19+0.0001,"Held to the scale's resolution, not "&amp;TEXT(Settings!$B$4,"0%"),"")))</f>
        <v>Held to the scale's resolution, not 2%</v>
      </c>
    </row>
    <row r="20" customFormat="false" ht="15" hidden="false" customHeight="false" outlineLevel="0" collapsed="false">
      <c r="A20" s="20" t="n">
        <f aca="false">IF($B20="","",13)</f>
        <v>13</v>
      </c>
      <c r="B20" s="21" t="s">
        <v>73</v>
      </c>
      <c r="C20" s="22" t="n">
        <v>1</v>
      </c>
      <c r="D20" s="23" t="n">
        <f aca="false">IF($B20="","",$C20/1000)</f>
        <v>0.001</v>
      </c>
      <c r="E20" s="24" t="n">
        <f aca="false">IF($B20="","",$D20*$C$4)</f>
        <v>3.2</v>
      </c>
      <c r="F20" s="25" t="str">
        <f aca="false">IF($B20="","",IF($E20&lt;=0,"NEITHER — zero",IF($E20&gt;=Settings!$B$19,Settings!$B$6,IF($E20&gt;Settings!$B$14,"NEITHER — over bench capacity",IF($E20&gt;=2*Settings!$B$12,Settings!$B$11,"NEITHER — under bench resolution")))))</f>
        <v>Bench scale</v>
      </c>
      <c r="G20" s="24" t="n">
        <f aca="false">IF($B20="","",IF($F20=Settings!$B$6,MAX(2*Settings!$B$7,Settings!$B$4*$E20),IF($F20=Settings!$B$11,MAX(2*Settings!$B$12,Settings!$B$4*$E20),"")))</f>
        <v>0.2</v>
      </c>
      <c r="H20" s="26" t="str">
        <f aca="false">IF($B20="","",IF(LEFT($F20,7)="NEITHER","Cannot be weighed — split it, premix it, or raise the batch size",IF($G20&gt;Settings!$B$4*$E20+0.0001,"Held to the scale's resolution, not "&amp;TEXT(Settings!$B$4,"0%"),"")))</f>
        <v>Held to the scale's resolution, not 2%</v>
      </c>
    </row>
    <row r="21" customFormat="false" ht="15" hidden="false" customHeight="false" outlineLevel="0" collapsed="false">
      <c r="A21" s="20" t="n">
        <f aca="false">IF($B21="","",14)</f>
        <v>14</v>
      </c>
      <c r="B21" s="21" t="s">
        <v>74</v>
      </c>
      <c r="C21" s="22" t="n">
        <v>0.6</v>
      </c>
      <c r="D21" s="23" t="n">
        <f aca="false">IF($B21="","",$C21/1000)</f>
        <v>0.0006</v>
      </c>
      <c r="E21" s="24" t="n">
        <f aca="false">IF($B21="","",$D21*$C$4)</f>
        <v>1.92</v>
      </c>
      <c r="F21" s="25" t="str">
        <f aca="false">IF($B21="","",IF($E21&lt;=0,"NEITHER — zero",IF($E21&gt;=Settings!$B$19,Settings!$B$6,IF($E21&gt;Settings!$B$14,"NEITHER — over bench capacity",IF($E21&gt;=2*Settings!$B$12,Settings!$B$11,"NEITHER — under bench resolution")))))</f>
        <v>Bench scale</v>
      </c>
      <c r="G21" s="24" t="n">
        <f aca="false">IF($B21="","",IF($F21=Settings!$B$6,MAX(2*Settings!$B$7,Settings!$B$4*$E21),IF($F21=Settings!$B$11,MAX(2*Settings!$B$12,Settings!$B$4*$E21),"")))</f>
        <v>0.2</v>
      </c>
      <c r="H21" s="26" t="str">
        <f aca="false">IF($B21="","",IF(LEFT($F21,7)="NEITHER","Cannot be weighed — split it, premix it, or raise the batch size",IF($G21&gt;Settings!$B$4*$E21+0.0001,"Held to the scale's resolution, not "&amp;TEXT(Settings!$B$4,"0%"),"")))</f>
        <v>Held to the scale's resolution, not 2%</v>
      </c>
    </row>
    <row r="22" customFormat="false" ht="15" hidden="false" customHeight="false" outlineLevel="0" collapsed="false">
      <c r="A22" s="20" t="n">
        <f aca="false">IF($B22="","",15)</f>
        <v>15</v>
      </c>
      <c r="B22" s="21" t="s">
        <v>75</v>
      </c>
      <c r="C22" s="22" t="n">
        <v>0.25</v>
      </c>
      <c r="D22" s="23" t="n">
        <f aca="false">IF($B22="","",$C22/1000)</f>
        <v>0.00025</v>
      </c>
      <c r="E22" s="24" t="n">
        <f aca="false">IF($B22="","",$D22*$C$4)</f>
        <v>0.8</v>
      </c>
      <c r="F22" s="25" t="str">
        <f aca="false">IF($B22="","",IF($E22&lt;=0,"NEITHER — zero",IF($E22&gt;=Settings!$B$19,Settings!$B$6,IF($E22&gt;Settings!$B$14,"NEITHER — over bench capacity",IF($E22&gt;=2*Settings!$B$12,Settings!$B$11,"NEITHER — under bench resolution")))))</f>
        <v>Bench scale</v>
      </c>
      <c r="G22" s="24" t="n">
        <f aca="false">IF($B22="","",IF($F22=Settings!$B$6,MAX(2*Settings!$B$7,Settings!$B$4*$E22),IF($F22=Settings!$B$11,MAX(2*Settings!$B$12,Settings!$B$4*$E22),"")))</f>
        <v>0.2</v>
      </c>
      <c r="H22" s="26" t="str">
        <f aca="false">IF($B22="","",IF(LEFT($F22,7)="NEITHER","Cannot be weighed — split it, premix it, or raise the batch size",IF($G22&gt;Settings!$B$4*$E22+0.0001,"Held to the scale's resolution, not "&amp;TEXT(Settings!$B$4,"0%"),"")))</f>
        <v>Held to the scale's resolution, not 2%</v>
      </c>
    </row>
    <row r="23" customFormat="false" ht="15" hidden="false" customHeight="false" outlineLevel="0" collapsed="false">
      <c r="A23" s="20" t="n">
        <f aca="false">IF($B23="","",16)</f>
        <v>16</v>
      </c>
      <c r="B23" s="21" t="s">
        <v>76</v>
      </c>
      <c r="C23" s="22" t="n">
        <v>0</v>
      </c>
      <c r="D23" s="23" t="n">
        <f aca="false">IF($B23="","",$C23/1000)</f>
        <v>0</v>
      </c>
      <c r="E23" s="24" t="n">
        <f aca="false">IF($B23="","",$D23*$C$4)</f>
        <v>0</v>
      </c>
      <c r="F23" s="25" t="str">
        <f aca="false">IF($B23="","",IF($E23&lt;=0,"NEITHER — zero",IF($E23&gt;=Settings!$B$19,Settings!$B$6,IF($E23&gt;Settings!$B$14,"NEITHER — over bench capacity",IF($E23&gt;=2*Settings!$B$12,Settings!$B$11,"NEITHER — under bench resolution")))))</f>
        <v>NEITHER — zero</v>
      </c>
      <c r="G23" s="24" t="str">
        <f aca="false">IF($B23="","",IF($F23=Settings!$B$6,MAX(2*Settings!$B$7,Settings!$B$4*$E23),IF($F23=Settings!$B$11,MAX(2*Settings!$B$12,Settings!$B$4*$E23),"")))</f>
        <v/>
      </c>
      <c r="H23" s="26" t="str">
        <f aca="false">IF($B23="","",IF(LEFT($F23,7)="NEITHER","Cannot be weighed — split it, premix it, or raise the batch size",IF($G23&gt;Settings!$B$4*$E23+0.0001,"Held to the scale's resolution, not "&amp;TEXT(Settings!$B$4,"0%"),"")))</f>
        <v>Cannot be weighed — split it, premix it, or raise the batch size</v>
      </c>
    </row>
    <row r="24" customFormat="false" ht="15" hidden="false" customHeight="false" outlineLevel="0" collapsed="false">
      <c r="A24" s="20" t="str">
        <f aca="false">IF($B24="","",17)</f>
        <v/>
      </c>
      <c r="B24" s="21"/>
      <c r="C24" s="22"/>
      <c r="D24" s="23" t="str">
        <f aca="false">IF($B24="","",$C24/1000)</f>
        <v/>
      </c>
      <c r="E24" s="24" t="str">
        <f aca="false">IF($B24="","",$D24*$C$4)</f>
        <v/>
      </c>
      <c r="F24" s="25" t="str">
        <f aca="false">IF($B24="","",IF($E24&lt;=0,"NEITHER — zero",IF($E24&gt;=Settings!$B$19,Settings!$B$6,IF($E24&gt;Settings!$B$14,"NEITHER — over bench capacity",IF($E24&gt;=2*Settings!$B$12,Settings!$B$11,"NEITHER — under bench resolution")))))</f>
        <v/>
      </c>
      <c r="G24" s="24" t="str">
        <f aca="false">IF($B24="","",IF($F24=Settings!$B$6,MAX(2*Settings!$B$7,Settings!$B$4*$E24),IF($F24=Settings!$B$11,MAX(2*Settings!$B$12,Settings!$B$4*$E24),"")))</f>
        <v/>
      </c>
      <c r="H24" s="26" t="str">
        <f aca="false">IF($B24="","",IF(LEFT($F24,7)="NEITHER","Cannot be weighed — split it, premix it, or raise the batch size",IF($G24&gt;Settings!$B$4*$E24+0.0001,"Held to the scale's resolution, not "&amp;TEXT(Settings!$B$4,"0%"),"")))</f>
        <v/>
      </c>
    </row>
    <row r="25" customFormat="false" ht="15" hidden="false" customHeight="false" outlineLevel="0" collapsed="false">
      <c r="A25" s="20" t="str">
        <f aca="false">IF($B25="","",18)</f>
        <v/>
      </c>
      <c r="B25" s="21"/>
      <c r="C25" s="22"/>
      <c r="D25" s="23" t="str">
        <f aca="false">IF($B25="","",$C25/1000)</f>
        <v/>
      </c>
      <c r="E25" s="24" t="str">
        <f aca="false">IF($B25="","",$D25*$C$4)</f>
        <v/>
      </c>
      <c r="F25" s="25" t="str">
        <f aca="false">IF($B25="","",IF($E25&lt;=0,"NEITHER — zero",IF($E25&gt;=Settings!$B$19,Settings!$B$6,IF($E25&gt;Settings!$B$14,"NEITHER — over bench capacity",IF($E25&gt;=2*Settings!$B$12,Settings!$B$11,"NEITHER — under bench resolution")))))</f>
        <v/>
      </c>
      <c r="G25" s="24" t="str">
        <f aca="false">IF($B25="","",IF($F25=Settings!$B$6,MAX(2*Settings!$B$7,Settings!$B$4*$E25),IF($F25=Settings!$B$11,MAX(2*Settings!$B$12,Settings!$B$4*$E25),"")))</f>
        <v/>
      </c>
      <c r="H25" s="26" t="str">
        <f aca="false">IF($B25="","",IF(LEFT($F25,7)="NEITHER","Cannot be weighed — split it, premix it, or raise the batch size",IF($G25&gt;Settings!$B$4*$E25+0.0001,"Held to the scale's resolution, not "&amp;TEXT(Settings!$B$4,"0%"),"")))</f>
        <v/>
      </c>
    </row>
    <row r="26" customFormat="false" ht="15" hidden="false" customHeight="false" outlineLevel="0" collapsed="false">
      <c r="A26" s="20" t="str">
        <f aca="false">IF($B26="","",19)</f>
        <v/>
      </c>
      <c r="B26" s="21"/>
      <c r="C26" s="22"/>
      <c r="D26" s="23" t="str">
        <f aca="false">IF($B26="","",$C26/1000)</f>
        <v/>
      </c>
      <c r="E26" s="24" t="str">
        <f aca="false">IF($B26="","",$D26*$C$4)</f>
        <v/>
      </c>
      <c r="F26" s="25" t="str">
        <f aca="false">IF($B26="","",IF($E26&lt;=0,"NEITHER — zero",IF($E26&gt;=Settings!$B$19,Settings!$B$6,IF($E26&gt;Settings!$B$14,"NEITHER — over bench capacity",IF($E26&gt;=2*Settings!$B$12,Settings!$B$11,"NEITHER — under bench resolution")))))</f>
        <v/>
      </c>
      <c r="G26" s="24" t="str">
        <f aca="false">IF($B26="","",IF($F26=Settings!$B$6,MAX(2*Settings!$B$7,Settings!$B$4*$E26),IF($F26=Settings!$B$11,MAX(2*Settings!$B$12,Settings!$B$4*$E26),"")))</f>
        <v/>
      </c>
      <c r="H26" s="26" t="str">
        <f aca="false">IF($B26="","",IF(LEFT($F26,7)="NEITHER","Cannot be weighed — split it, premix it, or raise the batch size",IF($G26&gt;Settings!$B$4*$E26+0.0001,"Held to the scale's resolution, not "&amp;TEXT(Settings!$B$4,"0%"),"")))</f>
        <v/>
      </c>
    </row>
    <row r="27" customFormat="false" ht="15" hidden="false" customHeight="false" outlineLevel="0" collapsed="false">
      <c r="A27" s="20" t="str">
        <f aca="false">IF($B27="","",20)</f>
        <v/>
      </c>
      <c r="B27" s="21"/>
      <c r="C27" s="22"/>
      <c r="D27" s="23" t="str">
        <f aca="false">IF($B27="","",$C27/1000)</f>
        <v/>
      </c>
      <c r="E27" s="24" t="str">
        <f aca="false">IF($B27="","",$D27*$C$4)</f>
        <v/>
      </c>
      <c r="F27" s="25" t="str">
        <f aca="false">IF($B27="","",IF($E27&lt;=0,"NEITHER — zero",IF($E27&gt;=Settings!$B$19,Settings!$B$6,IF($E27&gt;Settings!$B$14,"NEITHER — over bench capacity",IF($E27&gt;=2*Settings!$B$12,Settings!$B$11,"NEITHER — under bench resolution")))))</f>
        <v/>
      </c>
      <c r="G27" s="24" t="str">
        <f aca="false">IF($B27="","",IF($F27=Settings!$B$6,MAX(2*Settings!$B$7,Settings!$B$4*$E27),IF($F27=Settings!$B$11,MAX(2*Settings!$B$12,Settings!$B$4*$E27),"")))</f>
        <v/>
      </c>
      <c r="H27" s="26" t="str">
        <f aca="false">IF($B27="","",IF(LEFT($F27,7)="NEITHER","Cannot be weighed — split it, premix it, or raise the batch size",IF($G27&gt;Settings!$B$4*$E27+0.0001,"Held to the scale's resolution, not "&amp;TEXT(Settings!$B$4,"0%"),"")))</f>
        <v/>
      </c>
    </row>
    <row r="28" customFormat="false" ht="15" hidden="false" customHeight="false" outlineLevel="0" collapsed="false">
      <c r="A28" s="20" t="str">
        <f aca="false">IF($B28="","",21)</f>
        <v/>
      </c>
      <c r="B28" s="21"/>
      <c r="C28" s="22"/>
      <c r="D28" s="23" t="str">
        <f aca="false">IF($B28="","",$C28/1000)</f>
        <v/>
      </c>
      <c r="E28" s="24" t="str">
        <f aca="false">IF($B28="","",$D28*$C$4)</f>
        <v/>
      </c>
      <c r="F28" s="25" t="str">
        <f aca="false">IF($B28="","",IF($E28&lt;=0,"NEITHER — zero",IF($E28&gt;=Settings!$B$19,Settings!$B$6,IF($E28&gt;Settings!$B$14,"NEITHER — over bench capacity",IF($E28&gt;=2*Settings!$B$12,Settings!$B$11,"NEITHER — under bench resolution")))))</f>
        <v/>
      </c>
      <c r="G28" s="24" t="str">
        <f aca="false">IF($B28="","",IF($F28=Settings!$B$6,MAX(2*Settings!$B$7,Settings!$B$4*$E28),IF($F28=Settings!$B$11,MAX(2*Settings!$B$12,Settings!$B$4*$E28),"")))</f>
        <v/>
      </c>
      <c r="H28" s="26" t="str">
        <f aca="false">IF($B28="","",IF(LEFT($F28,7)="NEITHER","Cannot be weighed — split it, premix it, or raise the batch size",IF($G28&gt;Settings!$B$4*$E28+0.0001,"Held to the scale's resolution, not "&amp;TEXT(Settings!$B$4,"0%"),"")))</f>
        <v/>
      </c>
    </row>
    <row r="29" customFormat="false" ht="15" hidden="false" customHeight="false" outlineLevel="0" collapsed="false">
      <c r="A29" s="20" t="str">
        <f aca="false">IF($B29="","",22)</f>
        <v/>
      </c>
      <c r="B29" s="21"/>
      <c r="C29" s="22"/>
      <c r="D29" s="23" t="str">
        <f aca="false">IF($B29="","",$C29/1000)</f>
        <v/>
      </c>
      <c r="E29" s="24" t="str">
        <f aca="false">IF($B29="","",$D29*$C$4)</f>
        <v/>
      </c>
      <c r="F29" s="25" t="str">
        <f aca="false">IF($B29="","",IF($E29&lt;=0,"NEITHER — zero",IF($E29&gt;=Settings!$B$19,Settings!$B$6,IF($E29&gt;Settings!$B$14,"NEITHER — over bench capacity",IF($E29&gt;=2*Settings!$B$12,Settings!$B$11,"NEITHER — under bench resolution")))))</f>
        <v/>
      </c>
      <c r="G29" s="24" t="str">
        <f aca="false">IF($B29="","",IF($F29=Settings!$B$6,MAX(2*Settings!$B$7,Settings!$B$4*$E29),IF($F29=Settings!$B$11,MAX(2*Settings!$B$12,Settings!$B$4*$E29),"")))</f>
        <v/>
      </c>
      <c r="H29" s="26" t="str">
        <f aca="false">IF($B29="","",IF(LEFT($F29,7)="NEITHER","Cannot be weighed — split it, premix it, or raise the batch size",IF($G29&gt;Settings!$B$4*$E29+0.0001,"Held to the scale's resolution, not "&amp;TEXT(Settings!$B$4,"0%"),"")))</f>
        <v/>
      </c>
    </row>
    <row r="30" customFormat="false" ht="15" hidden="false" customHeight="false" outlineLevel="0" collapsed="false">
      <c r="A30" s="20" t="str">
        <f aca="false">IF($B30="","",23)</f>
        <v/>
      </c>
      <c r="B30" s="21"/>
      <c r="C30" s="22"/>
      <c r="D30" s="23" t="str">
        <f aca="false">IF($B30="","",$C30/1000)</f>
        <v/>
      </c>
      <c r="E30" s="24" t="str">
        <f aca="false">IF($B30="","",$D30*$C$4)</f>
        <v/>
      </c>
      <c r="F30" s="25" t="str">
        <f aca="false">IF($B30="","",IF($E30&lt;=0,"NEITHER — zero",IF($E30&gt;=Settings!$B$19,Settings!$B$6,IF($E30&gt;Settings!$B$14,"NEITHER — over bench capacity",IF($E30&gt;=2*Settings!$B$12,Settings!$B$11,"NEITHER — under bench resolution")))))</f>
        <v/>
      </c>
      <c r="G30" s="24" t="str">
        <f aca="false">IF($B30="","",IF($F30=Settings!$B$6,MAX(2*Settings!$B$7,Settings!$B$4*$E30),IF($F30=Settings!$B$11,MAX(2*Settings!$B$12,Settings!$B$4*$E30),"")))</f>
        <v/>
      </c>
      <c r="H30" s="26" t="str">
        <f aca="false">IF($B30="","",IF(LEFT($F30,7)="NEITHER","Cannot be weighed — split it, premix it, or raise the batch size",IF($G30&gt;Settings!$B$4*$E30+0.0001,"Held to the scale's resolution, not "&amp;TEXT(Settings!$B$4,"0%"),"")))</f>
        <v/>
      </c>
    </row>
    <row r="31" customFormat="false" ht="15" hidden="false" customHeight="false" outlineLevel="0" collapsed="false">
      <c r="A31" s="20" t="str">
        <f aca="false">IF($B31="","",24)</f>
        <v/>
      </c>
      <c r="B31" s="21"/>
      <c r="C31" s="22"/>
      <c r="D31" s="23" t="str">
        <f aca="false">IF($B31="","",$C31/1000)</f>
        <v/>
      </c>
      <c r="E31" s="24" t="str">
        <f aca="false">IF($B31="","",$D31*$C$4)</f>
        <v/>
      </c>
      <c r="F31" s="25" t="str">
        <f aca="false">IF($B31="","",IF($E31&lt;=0,"NEITHER — zero",IF($E31&gt;=Settings!$B$19,Settings!$B$6,IF($E31&gt;Settings!$B$14,"NEITHER — over bench capacity",IF($E31&gt;=2*Settings!$B$12,Settings!$B$11,"NEITHER — under bench resolution")))))</f>
        <v/>
      </c>
      <c r="G31" s="24" t="str">
        <f aca="false">IF($B31="","",IF($F31=Settings!$B$6,MAX(2*Settings!$B$7,Settings!$B$4*$E31),IF($F31=Settings!$B$11,MAX(2*Settings!$B$12,Settings!$B$4*$E31),"")))</f>
        <v/>
      </c>
      <c r="H31" s="26" t="str">
        <f aca="false">IF($B31="","",IF(LEFT($F31,7)="NEITHER","Cannot be weighed — split it, premix it, or raise the batch size",IF($G31&gt;Settings!$B$4*$E31+0.0001,"Held to the scale's resolution, not "&amp;TEXT(Settings!$B$4,"0%"),"")))</f>
        <v/>
      </c>
    </row>
    <row r="32" customFormat="false" ht="15" hidden="false" customHeight="false" outlineLevel="0" collapsed="false">
      <c r="A32" s="20" t="str">
        <f aca="false">IF($B32="","",25)</f>
        <v/>
      </c>
      <c r="B32" s="21"/>
      <c r="C32" s="22"/>
      <c r="D32" s="23" t="str">
        <f aca="false">IF($B32="","",$C32/1000)</f>
        <v/>
      </c>
      <c r="E32" s="24" t="str">
        <f aca="false">IF($B32="","",$D32*$C$4)</f>
        <v/>
      </c>
      <c r="F32" s="25" t="str">
        <f aca="false">IF($B32="","",IF($E32&lt;=0,"NEITHER — zero",IF($E32&gt;=Settings!$B$19,Settings!$B$6,IF($E32&gt;Settings!$B$14,"NEITHER — over bench capacity",IF($E32&gt;=2*Settings!$B$12,Settings!$B$11,"NEITHER — under bench resolution")))))</f>
        <v/>
      </c>
      <c r="G32" s="24" t="str">
        <f aca="false">IF($B32="","",IF($F32=Settings!$B$6,MAX(2*Settings!$B$7,Settings!$B$4*$E32),IF($F32=Settings!$B$11,MAX(2*Settings!$B$12,Settings!$B$4*$E32),"")))</f>
        <v/>
      </c>
      <c r="H32" s="26" t="str">
        <f aca="false">IF($B32="","",IF(LEFT($F32,7)="NEITHER","Cannot be weighed — split it, premix it, or raise the batch size",IF($G32&gt;Settings!$B$4*$E32+0.0001,"Held to the scale's resolution, not "&amp;TEXT(Settings!$B$4,"0%"),"")))</f>
        <v/>
      </c>
    </row>
    <row r="33" customFormat="false" ht="15" hidden="false" customHeight="false" outlineLevel="0" collapsed="false">
      <c r="A33" s="20" t="str">
        <f aca="false">IF($B33="","",26)</f>
        <v/>
      </c>
      <c r="B33" s="21"/>
      <c r="C33" s="22"/>
      <c r="D33" s="23" t="str">
        <f aca="false">IF($B33="","",$C33/1000)</f>
        <v/>
      </c>
      <c r="E33" s="24" t="str">
        <f aca="false">IF($B33="","",$D33*$C$4)</f>
        <v/>
      </c>
      <c r="F33" s="25" t="str">
        <f aca="false">IF($B33="","",IF($E33&lt;=0,"NEITHER — zero",IF($E33&gt;=Settings!$B$19,Settings!$B$6,IF($E33&gt;Settings!$B$14,"NEITHER — over bench capacity",IF($E33&gt;=2*Settings!$B$12,Settings!$B$11,"NEITHER — under bench resolution")))))</f>
        <v/>
      </c>
      <c r="G33" s="24" t="str">
        <f aca="false">IF($B33="","",IF($F33=Settings!$B$6,MAX(2*Settings!$B$7,Settings!$B$4*$E33),IF($F33=Settings!$B$11,MAX(2*Settings!$B$12,Settings!$B$4*$E33),"")))</f>
        <v/>
      </c>
      <c r="H33" s="26" t="str">
        <f aca="false">IF($B33="","",IF(LEFT($F33,7)="NEITHER","Cannot be weighed — split it, premix it, or raise the batch size",IF($G33&gt;Settings!$B$4*$E33+0.0001,"Held to the scale's resolution, not "&amp;TEXT(Settings!$B$4,"0%"),"")))</f>
        <v/>
      </c>
    </row>
    <row r="34" customFormat="false" ht="15" hidden="false" customHeight="false" outlineLevel="0" collapsed="false">
      <c r="A34" s="20" t="str">
        <f aca="false">IF($B34="","",27)</f>
        <v/>
      </c>
      <c r="B34" s="21"/>
      <c r="C34" s="22"/>
      <c r="D34" s="23" t="str">
        <f aca="false">IF($B34="","",$C34/1000)</f>
        <v/>
      </c>
      <c r="E34" s="24" t="str">
        <f aca="false">IF($B34="","",$D34*$C$4)</f>
        <v/>
      </c>
      <c r="F34" s="25" t="str">
        <f aca="false">IF($B34="","",IF($E34&lt;=0,"NEITHER — zero",IF($E34&gt;=Settings!$B$19,Settings!$B$6,IF($E34&gt;Settings!$B$14,"NEITHER — over bench capacity",IF($E34&gt;=2*Settings!$B$12,Settings!$B$11,"NEITHER — under bench resolution")))))</f>
        <v/>
      </c>
      <c r="G34" s="24" t="str">
        <f aca="false">IF($B34="","",IF($F34=Settings!$B$6,MAX(2*Settings!$B$7,Settings!$B$4*$E34),IF($F34=Settings!$B$11,MAX(2*Settings!$B$12,Settings!$B$4*$E34),"")))</f>
        <v/>
      </c>
      <c r="H34" s="26" t="str">
        <f aca="false">IF($B34="","",IF(LEFT($F34,7)="NEITHER","Cannot be weighed — split it, premix it, or raise the batch size",IF($G34&gt;Settings!$B$4*$E34+0.0001,"Held to the scale's resolution, not "&amp;TEXT(Settings!$B$4,"0%"),"")))</f>
        <v/>
      </c>
    </row>
    <row r="35" customFormat="false" ht="15" hidden="false" customHeight="false" outlineLevel="0" collapsed="false">
      <c r="A35" s="20" t="str">
        <f aca="false">IF($B35="","",28)</f>
        <v/>
      </c>
      <c r="B35" s="21"/>
      <c r="C35" s="22"/>
      <c r="D35" s="23" t="str">
        <f aca="false">IF($B35="","",$C35/1000)</f>
        <v/>
      </c>
      <c r="E35" s="24" t="str">
        <f aca="false">IF($B35="","",$D35*$C$4)</f>
        <v/>
      </c>
      <c r="F35" s="25" t="str">
        <f aca="false">IF($B35="","",IF($E35&lt;=0,"NEITHER — zero",IF($E35&gt;=Settings!$B$19,Settings!$B$6,IF($E35&gt;Settings!$B$14,"NEITHER — over bench capacity",IF($E35&gt;=2*Settings!$B$12,Settings!$B$11,"NEITHER — under bench resolution")))))</f>
        <v/>
      </c>
      <c r="G35" s="24" t="str">
        <f aca="false">IF($B35="","",IF($F35=Settings!$B$6,MAX(2*Settings!$B$7,Settings!$B$4*$E35),IF($F35=Settings!$B$11,MAX(2*Settings!$B$12,Settings!$B$4*$E35),"")))</f>
        <v/>
      </c>
      <c r="H35" s="26" t="str">
        <f aca="false">IF($B35="","",IF(LEFT($F35,7)="NEITHER","Cannot be weighed — split it, premix it, or raise the batch size",IF($G35&gt;Settings!$B$4*$E35+0.0001,"Held to the scale's resolution, not "&amp;TEXT(Settings!$B$4,"0%"),"")))</f>
        <v/>
      </c>
    </row>
    <row r="36" customFormat="false" ht="15" hidden="false" customHeight="false" outlineLevel="0" collapsed="false">
      <c r="A36" s="20" t="str">
        <f aca="false">IF($B36="","",29)</f>
        <v/>
      </c>
      <c r="B36" s="21"/>
      <c r="C36" s="22"/>
      <c r="D36" s="23" t="str">
        <f aca="false">IF($B36="","",$C36/1000)</f>
        <v/>
      </c>
      <c r="E36" s="24" t="str">
        <f aca="false">IF($B36="","",$D36*$C$4)</f>
        <v/>
      </c>
      <c r="F36" s="25" t="str">
        <f aca="false">IF($B36="","",IF($E36&lt;=0,"NEITHER — zero",IF($E36&gt;=Settings!$B$19,Settings!$B$6,IF($E36&gt;Settings!$B$14,"NEITHER — over bench capacity",IF($E36&gt;=2*Settings!$B$12,Settings!$B$11,"NEITHER — under bench resolution")))))</f>
        <v/>
      </c>
      <c r="G36" s="24" t="str">
        <f aca="false">IF($B36="","",IF($F36=Settings!$B$6,MAX(2*Settings!$B$7,Settings!$B$4*$E36),IF($F36=Settings!$B$11,MAX(2*Settings!$B$12,Settings!$B$4*$E36),"")))</f>
        <v/>
      </c>
      <c r="H36" s="26" t="str">
        <f aca="false">IF($B36="","",IF(LEFT($F36,7)="NEITHER","Cannot be weighed — split it, premix it, or raise the batch size",IF($G36&gt;Settings!$B$4*$E36+0.0001,"Held to the scale's resolution, not "&amp;TEXT(Settings!$B$4,"0%"),"")))</f>
        <v/>
      </c>
    </row>
    <row r="37" customFormat="false" ht="15" hidden="false" customHeight="false" outlineLevel="0" collapsed="false">
      <c r="A37" s="20" t="str">
        <f aca="false">IF($B37="","",30)</f>
        <v/>
      </c>
      <c r="B37" s="21"/>
      <c r="C37" s="22"/>
      <c r="D37" s="23" t="str">
        <f aca="false">IF($B37="","",$C37/1000)</f>
        <v/>
      </c>
      <c r="E37" s="24" t="str">
        <f aca="false">IF($B37="","",$D37*$C$4)</f>
        <v/>
      </c>
      <c r="F37" s="25" t="str">
        <f aca="false">IF($B37="","",IF($E37&lt;=0,"NEITHER — zero",IF($E37&gt;=Settings!$B$19,Settings!$B$6,IF($E37&gt;Settings!$B$14,"NEITHER — over bench capacity",IF($E37&gt;=2*Settings!$B$12,Settings!$B$11,"NEITHER — under bench resolution")))))</f>
        <v/>
      </c>
      <c r="G37" s="24" t="str">
        <f aca="false">IF($B37="","",IF($F37=Settings!$B$6,MAX(2*Settings!$B$7,Settings!$B$4*$E37),IF($F37=Settings!$B$11,MAX(2*Settings!$B$12,Settings!$B$4*$E37),"")))</f>
        <v/>
      </c>
      <c r="H37" s="26" t="str">
        <f aca="false">IF($B37="","",IF(LEFT($F37,7)="NEITHER","Cannot be weighed — split it, premix it, or raise the batch size",IF($G37&gt;Settings!$B$4*$E37+0.0001,"Held to the scale's resolution, not "&amp;TEXT(Settings!$B$4,"0%"),"")))</f>
        <v/>
      </c>
    </row>
    <row r="38" customFormat="false" ht="15" hidden="false" customHeight="false" outlineLevel="0" collapsed="false">
      <c r="A38" s="20" t="str">
        <f aca="false">IF($B38="","",31)</f>
        <v/>
      </c>
      <c r="B38" s="21"/>
      <c r="C38" s="22"/>
      <c r="D38" s="23" t="str">
        <f aca="false">IF($B38="","",$C38/1000)</f>
        <v/>
      </c>
      <c r="E38" s="24" t="str">
        <f aca="false">IF($B38="","",$D38*$C$4)</f>
        <v/>
      </c>
      <c r="F38" s="25" t="str">
        <f aca="false">IF($B38="","",IF($E38&lt;=0,"NEITHER — zero",IF($E38&gt;=Settings!$B$19,Settings!$B$6,IF($E38&gt;Settings!$B$14,"NEITHER — over bench capacity",IF($E38&gt;=2*Settings!$B$12,Settings!$B$11,"NEITHER — under bench resolution")))))</f>
        <v/>
      </c>
      <c r="G38" s="24" t="str">
        <f aca="false">IF($B38="","",IF($F38=Settings!$B$6,MAX(2*Settings!$B$7,Settings!$B$4*$E38),IF($F38=Settings!$B$11,MAX(2*Settings!$B$12,Settings!$B$4*$E38),"")))</f>
        <v/>
      </c>
      <c r="H38" s="26" t="str">
        <f aca="false">IF($B38="","",IF(LEFT($F38,7)="NEITHER","Cannot be weighed — split it, premix it, or raise the batch size",IF($G38&gt;Settings!$B$4*$E38+0.0001,"Held to the scale's resolution, not "&amp;TEXT(Settings!$B$4,"0%"),"")))</f>
        <v/>
      </c>
    </row>
    <row r="39" customFormat="false" ht="15" hidden="false" customHeight="false" outlineLevel="0" collapsed="false">
      <c r="A39" s="20" t="str">
        <f aca="false">IF($B39="","",32)</f>
        <v/>
      </c>
      <c r="B39" s="21"/>
      <c r="C39" s="22"/>
      <c r="D39" s="23" t="str">
        <f aca="false">IF($B39="","",$C39/1000)</f>
        <v/>
      </c>
      <c r="E39" s="24" t="str">
        <f aca="false">IF($B39="","",$D39*$C$4)</f>
        <v/>
      </c>
      <c r="F39" s="25" t="str">
        <f aca="false">IF($B39="","",IF($E39&lt;=0,"NEITHER — zero",IF($E39&gt;=Settings!$B$19,Settings!$B$6,IF($E39&gt;Settings!$B$14,"NEITHER — over bench capacity",IF($E39&gt;=2*Settings!$B$12,Settings!$B$11,"NEITHER — under bench resolution")))))</f>
        <v/>
      </c>
      <c r="G39" s="24" t="str">
        <f aca="false">IF($B39="","",IF($F39=Settings!$B$6,MAX(2*Settings!$B$7,Settings!$B$4*$E39),IF($F39=Settings!$B$11,MAX(2*Settings!$B$12,Settings!$B$4*$E39),"")))</f>
        <v/>
      </c>
      <c r="H39" s="26" t="str">
        <f aca="false">IF($B39="","",IF(LEFT($F39,7)="NEITHER","Cannot be weighed — split it, premix it, or raise the batch size",IF($G39&gt;Settings!$B$4*$E39+0.0001,"Held to the scale's resolution, not "&amp;TEXT(Settings!$B$4,"0%"),"")))</f>
        <v/>
      </c>
    </row>
    <row r="40" customFormat="false" ht="15" hidden="false" customHeight="false" outlineLevel="0" collapsed="false">
      <c r="A40" s="20" t="str">
        <f aca="false">IF($B40="","",33)</f>
        <v/>
      </c>
      <c r="B40" s="21"/>
      <c r="C40" s="22"/>
      <c r="D40" s="23" t="str">
        <f aca="false">IF($B40="","",$C40/1000)</f>
        <v/>
      </c>
      <c r="E40" s="24" t="str">
        <f aca="false">IF($B40="","",$D40*$C$4)</f>
        <v/>
      </c>
      <c r="F40" s="25" t="str">
        <f aca="false">IF($B40="","",IF($E40&lt;=0,"NEITHER — zero",IF($E40&gt;=Settings!$B$19,Settings!$B$6,IF($E40&gt;Settings!$B$14,"NEITHER — over bench capacity",IF($E40&gt;=2*Settings!$B$12,Settings!$B$11,"NEITHER — under bench resolution")))))</f>
        <v/>
      </c>
      <c r="G40" s="24" t="str">
        <f aca="false">IF($B40="","",IF($F40=Settings!$B$6,MAX(2*Settings!$B$7,Settings!$B$4*$E40),IF($F40=Settings!$B$11,MAX(2*Settings!$B$12,Settings!$B$4*$E40),"")))</f>
        <v/>
      </c>
      <c r="H40" s="26" t="str">
        <f aca="false">IF($B40="","",IF(LEFT($F40,7)="NEITHER","Cannot be weighed — split it, premix it, or raise the batch size",IF($G40&gt;Settings!$B$4*$E40+0.0001,"Held to the scale's resolution, not "&amp;TEXT(Settings!$B$4,"0%"),"")))</f>
        <v/>
      </c>
    </row>
    <row r="41" customFormat="false" ht="15" hidden="false" customHeight="false" outlineLevel="0" collapsed="false">
      <c r="A41" s="20" t="str">
        <f aca="false">IF($B41="","",34)</f>
        <v/>
      </c>
      <c r="B41" s="21"/>
      <c r="C41" s="22"/>
      <c r="D41" s="23" t="str">
        <f aca="false">IF($B41="","",$C41/1000)</f>
        <v/>
      </c>
      <c r="E41" s="24" t="str">
        <f aca="false">IF($B41="","",$D41*$C$4)</f>
        <v/>
      </c>
      <c r="F41" s="25" t="str">
        <f aca="false">IF($B41="","",IF($E41&lt;=0,"NEITHER — zero",IF($E41&gt;=Settings!$B$19,Settings!$B$6,IF($E41&gt;Settings!$B$14,"NEITHER — over bench capacity",IF($E41&gt;=2*Settings!$B$12,Settings!$B$11,"NEITHER — under bench resolution")))))</f>
        <v/>
      </c>
      <c r="G41" s="24" t="str">
        <f aca="false">IF($B41="","",IF($F41=Settings!$B$6,MAX(2*Settings!$B$7,Settings!$B$4*$E41),IF($F41=Settings!$B$11,MAX(2*Settings!$B$12,Settings!$B$4*$E41),"")))</f>
        <v/>
      </c>
      <c r="H41" s="26" t="str">
        <f aca="false">IF($B41="","",IF(LEFT($F41,7)="NEITHER","Cannot be weighed — split it, premix it, or raise the batch size",IF($G41&gt;Settings!$B$4*$E41+0.0001,"Held to the scale's resolution, not "&amp;TEXT(Settings!$B$4,"0%"),"")))</f>
        <v/>
      </c>
    </row>
    <row r="42" customFormat="false" ht="15" hidden="false" customHeight="false" outlineLevel="0" collapsed="false">
      <c r="A42" s="20" t="str">
        <f aca="false">IF($B42="","",35)</f>
        <v/>
      </c>
      <c r="B42" s="21"/>
      <c r="C42" s="22"/>
      <c r="D42" s="23" t="str">
        <f aca="false">IF($B42="","",$C42/1000)</f>
        <v/>
      </c>
      <c r="E42" s="24" t="str">
        <f aca="false">IF($B42="","",$D42*$C$4)</f>
        <v/>
      </c>
      <c r="F42" s="25" t="str">
        <f aca="false">IF($B42="","",IF($E42&lt;=0,"NEITHER — zero",IF($E42&gt;=Settings!$B$19,Settings!$B$6,IF($E42&gt;Settings!$B$14,"NEITHER — over bench capacity",IF($E42&gt;=2*Settings!$B$12,Settings!$B$11,"NEITHER — under bench resolution")))))</f>
        <v/>
      </c>
      <c r="G42" s="24" t="str">
        <f aca="false">IF($B42="","",IF($F42=Settings!$B$6,MAX(2*Settings!$B$7,Settings!$B$4*$E42),IF($F42=Settings!$B$11,MAX(2*Settings!$B$12,Settings!$B$4*$E42),"")))</f>
        <v/>
      </c>
      <c r="H42" s="26" t="str">
        <f aca="false">IF($B42="","",IF(LEFT($F42,7)="NEITHER","Cannot be weighed — split it, premix it, or raise the batch size",IF($G42&gt;Settings!$B$4*$E42+0.0001,"Held to the scale's resolution, not "&amp;TEXT(Settings!$B$4,"0%"),"")))</f>
        <v/>
      </c>
    </row>
    <row r="43" customFormat="false" ht="15" hidden="false" customHeight="false" outlineLevel="0" collapsed="false">
      <c r="A43" s="20" t="str">
        <f aca="false">IF($B43="","",36)</f>
        <v/>
      </c>
      <c r="B43" s="21"/>
      <c r="C43" s="22"/>
      <c r="D43" s="23" t="str">
        <f aca="false">IF($B43="","",$C43/1000)</f>
        <v/>
      </c>
      <c r="E43" s="24" t="str">
        <f aca="false">IF($B43="","",$D43*$C$4)</f>
        <v/>
      </c>
      <c r="F43" s="25" t="str">
        <f aca="false">IF($B43="","",IF($E43&lt;=0,"NEITHER — zero",IF($E43&gt;=Settings!$B$19,Settings!$B$6,IF($E43&gt;Settings!$B$14,"NEITHER — over bench capacity",IF($E43&gt;=2*Settings!$B$12,Settings!$B$11,"NEITHER — under bench resolution")))))</f>
        <v/>
      </c>
      <c r="G43" s="24" t="str">
        <f aca="false">IF($B43="","",IF($F43=Settings!$B$6,MAX(2*Settings!$B$7,Settings!$B$4*$E43),IF($F43=Settings!$B$11,MAX(2*Settings!$B$12,Settings!$B$4*$E43),"")))</f>
        <v/>
      </c>
      <c r="H43" s="26" t="str">
        <f aca="false">IF($B43="","",IF(LEFT($F43,7)="NEITHER","Cannot be weighed — split it, premix it, or raise the batch size",IF($G43&gt;Settings!$B$4*$E43+0.0001,"Held to the scale's resolution, not "&amp;TEXT(Settings!$B$4,"0%"),"")))</f>
        <v/>
      </c>
    </row>
    <row r="44" customFormat="false" ht="15" hidden="false" customHeight="false" outlineLevel="0" collapsed="false">
      <c r="A44" s="20" t="str">
        <f aca="false">IF($B44="","",37)</f>
        <v/>
      </c>
      <c r="B44" s="21"/>
      <c r="C44" s="22"/>
      <c r="D44" s="23" t="str">
        <f aca="false">IF($B44="","",$C44/1000)</f>
        <v/>
      </c>
      <c r="E44" s="24" t="str">
        <f aca="false">IF($B44="","",$D44*$C$4)</f>
        <v/>
      </c>
      <c r="F44" s="25" t="str">
        <f aca="false">IF($B44="","",IF($E44&lt;=0,"NEITHER — zero",IF($E44&gt;=Settings!$B$19,Settings!$B$6,IF($E44&gt;Settings!$B$14,"NEITHER — over bench capacity",IF($E44&gt;=2*Settings!$B$12,Settings!$B$11,"NEITHER — under bench resolution")))))</f>
        <v/>
      </c>
      <c r="G44" s="24" t="str">
        <f aca="false">IF($B44="","",IF($F44=Settings!$B$6,MAX(2*Settings!$B$7,Settings!$B$4*$E44),IF($F44=Settings!$B$11,MAX(2*Settings!$B$12,Settings!$B$4*$E44),"")))</f>
        <v/>
      </c>
      <c r="H44" s="26" t="str">
        <f aca="false">IF($B44="","",IF(LEFT($F44,7)="NEITHER","Cannot be weighed — split it, premix it, or raise the batch size",IF($G44&gt;Settings!$B$4*$E44+0.0001,"Held to the scale's resolution, not "&amp;TEXT(Settings!$B$4,"0%"),"")))</f>
        <v/>
      </c>
    </row>
    <row r="45" customFormat="false" ht="15" hidden="false" customHeight="false" outlineLevel="0" collapsed="false">
      <c r="A45" s="20" t="str">
        <f aca="false">IF($B45="","",38)</f>
        <v/>
      </c>
      <c r="B45" s="21"/>
      <c r="C45" s="22"/>
      <c r="D45" s="23" t="str">
        <f aca="false">IF($B45="","",$C45/1000)</f>
        <v/>
      </c>
      <c r="E45" s="24" t="str">
        <f aca="false">IF($B45="","",$D45*$C$4)</f>
        <v/>
      </c>
      <c r="F45" s="25" t="str">
        <f aca="false">IF($B45="","",IF($E45&lt;=0,"NEITHER — zero",IF($E45&gt;=Settings!$B$19,Settings!$B$6,IF($E45&gt;Settings!$B$14,"NEITHER — over bench capacity",IF($E45&gt;=2*Settings!$B$12,Settings!$B$11,"NEITHER — under bench resolution")))))</f>
        <v/>
      </c>
      <c r="G45" s="24" t="str">
        <f aca="false">IF($B45="","",IF($F45=Settings!$B$6,MAX(2*Settings!$B$7,Settings!$B$4*$E45),IF($F45=Settings!$B$11,MAX(2*Settings!$B$12,Settings!$B$4*$E45),"")))</f>
        <v/>
      </c>
      <c r="H45" s="26" t="str">
        <f aca="false">IF($B45="","",IF(LEFT($F45,7)="NEITHER","Cannot be weighed — split it, premix it, or raise the batch size",IF($G45&gt;Settings!$B$4*$E45+0.0001,"Held to the scale's resolution, not "&amp;TEXT(Settings!$B$4,"0%"),"")))</f>
        <v/>
      </c>
    </row>
    <row r="46" customFormat="false" ht="15" hidden="false" customHeight="false" outlineLevel="0" collapsed="false">
      <c r="A46" s="20" t="str">
        <f aca="false">IF($B46="","",39)</f>
        <v/>
      </c>
      <c r="B46" s="21"/>
      <c r="C46" s="22"/>
      <c r="D46" s="23" t="str">
        <f aca="false">IF($B46="","",$C46/1000)</f>
        <v/>
      </c>
      <c r="E46" s="24" t="str">
        <f aca="false">IF($B46="","",$D46*$C$4)</f>
        <v/>
      </c>
      <c r="F46" s="25" t="str">
        <f aca="false">IF($B46="","",IF($E46&lt;=0,"NEITHER — zero",IF($E46&gt;=Settings!$B$19,Settings!$B$6,IF($E46&gt;Settings!$B$14,"NEITHER — over bench capacity",IF($E46&gt;=2*Settings!$B$12,Settings!$B$11,"NEITHER — under bench resolution")))))</f>
        <v/>
      </c>
      <c r="G46" s="24" t="str">
        <f aca="false">IF($B46="","",IF($F46=Settings!$B$6,MAX(2*Settings!$B$7,Settings!$B$4*$E46),IF($F46=Settings!$B$11,MAX(2*Settings!$B$12,Settings!$B$4*$E46),"")))</f>
        <v/>
      </c>
      <c r="H46" s="26" t="str">
        <f aca="false">IF($B46="","",IF(LEFT($F46,7)="NEITHER","Cannot be weighed — split it, premix it, or raise the batch size",IF($G46&gt;Settings!$B$4*$E46+0.0001,"Held to the scale's resolution, not "&amp;TEXT(Settings!$B$4,"0%"),"")))</f>
        <v/>
      </c>
    </row>
    <row r="47" customFormat="false" ht="15" hidden="false" customHeight="false" outlineLevel="0" collapsed="false">
      <c r="A47" s="20" t="str">
        <f aca="false">IF($B47="","",40)</f>
        <v/>
      </c>
      <c r="B47" s="21"/>
      <c r="C47" s="22"/>
      <c r="D47" s="23" t="str">
        <f aca="false">IF($B47="","",$C47/1000)</f>
        <v/>
      </c>
      <c r="E47" s="24" t="str">
        <f aca="false">IF($B47="","",$D47*$C$4)</f>
        <v/>
      </c>
      <c r="F47" s="25" t="str">
        <f aca="false">IF($B47="","",IF($E47&lt;=0,"NEITHER — zero",IF($E47&gt;=Settings!$B$19,Settings!$B$6,IF($E47&gt;Settings!$B$14,"NEITHER — over bench capacity",IF($E47&gt;=2*Settings!$B$12,Settings!$B$11,"NEITHER — under bench resolution")))))</f>
        <v/>
      </c>
      <c r="G47" s="24" t="str">
        <f aca="false">IF($B47="","",IF($F47=Settings!$B$6,MAX(2*Settings!$B$7,Settings!$B$4*$E47),IF($F47=Settings!$B$11,MAX(2*Settings!$B$12,Settings!$B$4*$E47),"")))</f>
        <v/>
      </c>
      <c r="H47" s="26" t="str">
        <f aca="false">IF($B47="","",IF(LEFT($F47,7)="NEITHER","Cannot be weighed — split it, premix it, or raise the batch size",IF($G47&gt;Settings!$B$4*$E47+0.0001,"Held to the scale's resolution, not "&amp;TEXT(Settings!$B$4,"0%"),"")))</f>
        <v/>
      </c>
    </row>
    <row r="49" customFormat="false" ht="15" hidden="false" customHeight="false" outlineLevel="0" collapsed="false">
      <c r="B49" s="27" t="s">
        <v>77</v>
      </c>
      <c r="C49" s="28" t="n">
        <f aca="false">SUM(C8:C47)</f>
        <v>255.05</v>
      </c>
      <c r="D49" s="29" t="n">
        <f aca="false">SUM(D8:D47)</f>
        <v>0.25505</v>
      </c>
      <c r="E49" s="28" t="n">
        <f aca="false">SUM(E8:E47)</f>
        <v>816.16</v>
      </c>
    </row>
    <row r="50" customFormat="false" ht="15" hidden="false" customHeight="false" outlineLevel="0" collapsed="false">
      <c r="B50" s="5" t="s">
        <v>78</v>
      </c>
      <c r="E50" s="30" t="n">
        <f aca="false">$C$4+E49</f>
        <v>4016.16</v>
      </c>
    </row>
    <row r="52" customFormat="false" ht="15" hidden="false" customHeight="false" outlineLevel="0" collapsed="false">
      <c r="B52" s="15" t="str">
        <f aca="false">IF(COUNTIF($F$8:$F$47,"NEITHER*")=0,"All ingredients can be weighed.","WARNING: "&amp;COUNTIF($F$8:$F$47,"NEITHER*")&amp;" ingredient(s) cannot be weighed on either scale — see the Note column.")</f>
        <v>WARNING: 1 ingredient(s) cannot be weighed on either scale — see the Note column.</v>
      </c>
      <c r="C52" s="15"/>
      <c r="D52" s="15"/>
      <c r="E52" s="15"/>
      <c r="F52" s="15"/>
      <c r="G52" s="15"/>
      <c r="H52" s="15"/>
    </row>
  </sheetData>
  <mergeCells count="11">
    <mergeCell ref="A1:H1"/>
    <mergeCell ref="A2:H2"/>
    <mergeCell ref="A4:B4"/>
    <mergeCell ref="D4:H4"/>
    <mergeCell ref="A5:B5"/>
    <mergeCell ref="D5:E5"/>
    <mergeCell ref="F5:H5"/>
    <mergeCell ref="A6:B6"/>
    <mergeCell ref="D6:E6"/>
    <mergeCell ref="F6:H6"/>
    <mergeCell ref="B52:H52"/>
  </mergeCells>
  <conditionalFormatting sqref="B52:H52">
    <cfRule type="expression" priority="2" aboveAverage="0" equalAverage="0" bottom="0" percent="0" rank="0" text="" dxfId="0">
      <formula>LEFT($B$52,5)="ERROR"</formula>
    </cfRule>
  </conditionalFormatting>
  <conditionalFormatting sqref="A8:H47">
    <cfRule type="expression" priority="3" aboveAverage="0" equalAverage="0" bottom="0" percent="0" rank="0" text="" dxfId="1">
      <formula>LEFT($F8,7)="NEITHER"</formula>
    </cfRule>
    <cfRule type="expression" priority="4" aboveAverage="0" equalAverage="0" bottom="0" percent="0" rank="0" text="" dxfId="2">
      <formula>AND($B8&lt;&gt;"",$H8&lt;&gt;"")</formula>
    </cfRule>
  </conditionalFormatting>
  <dataValidations count="1">
    <dataValidation allowBlank="true" errorStyle="stop" operator="between" showDropDown="false" showErrorMessage="false" showInputMessage="false" sqref="B8:B47" type="list">
      <formula1>IngredientList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45</v>
      </c>
      <c r="B4" s="16"/>
      <c r="C4" s="17" t="n">
        <v>3200</v>
      </c>
      <c r="D4" s="2" t="s">
        <v>46</v>
      </c>
      <c r="E4" s="2"/>
      <c r="F4" s="2"/>
      <c r="G4" s="2"/>
      <c r="H4" s="2"/>
    </row>
    <row r="5" customFormat="false" ht="15" hidden="false" customHeight="false" outlineLevel="0" collapsed="false">
      <c r="A5" s="16" t="s">
        <v>47</v>
      </c>
      <c r="B5" s="16"/>
      <c r="C5" s="8" t="s">
        <v>80</v>
      </c>
      <c r="D5" s="16" t="s">
        <v>49</v>
      </c>
      <c r="E5" s="16"/>
      <c r="F5" s="18" t="s">
        <v>50</v>
      </c>
      <c r="G5" s="18"/>
      <c r="H5" s="18"/>
    </row>
    <row r="6" customFormat="false" ht="15" hidden="false" customHeight="false" outlineLevel="0" collapsed="false">
      <c r="A6" s="16" t="s">
        <v>51</v>
      </c>
      <c r="B6" s="16"/>
      <c r="C6" s="8" t="s">
        <v>81</v>
      </c>
      <c r="D6" s="16" t="s">
        <v>52</v>
      </c>
      <c r="E6" s="16"/>
      <c r="F6" s="18" t="s">
        <v>82</v>
      </c>
      <c r="G6" s="18"/>
      <c r="H6" s="18"/>
    </row>
    <row r="7" customFormat="false" ht="23.85" hidden="false" customHeight="false" outlineLevel="0" collapsed="false">
      <c r="A7" s="19" t="s">
        <v>53</v>
      </c>
      <c r="B7" s="19" t="s">
        <v>54</v>
      </c>
      <c r="C7" s="19" t="s">
        <v>55</v>
      </c>
      <c r="D7" s="19" t="s">
        <v>56</v>
      </c>
      <c r="E7" s="19" t="s">
        <v>57</v>
      </c>
      <c r="F7" s="19" t="s">
        <v>58</v>
      </c>
      <c r="G7" s="19" t="s">
        <v>59</v>
      </c>
      <c r="H7" s="19" t="s">
        <v>60</v>
      </c>
    </row>
    <row r="8" customFormat="false" ht="15" hidden="false" customHeight="false" outlineLevel="0" collapsed="false">
      <c r="A8" s="20" t="n">
        <f aca="false">IF($B8="","",1)</f>
        <v>1</v>
      </c>
      <c r="B8" s="31" t="s">
        <v>83</v>
      </c>
      <c r="C8" s="32" t="n">
        <v>7.5</v>
      </c>
      <c r="D8" s="23" t="n">
        <f aca="false">IF($B8="","",$C8/1000)</f>
        <v>0.0075</v>
      </c>
      <c r="E8" s="24" t="n">
        <f aca="false">IF($B8="","",$D8*$C$4)</f>
        <v>24</v>
      </c>
      <c r="F8" s="25" t="str">
        <f aca="false">IF($B8="","",IF($E8&lt;=0,"NEITHER — zero",IF($E8&gt;=Settings!$B$19,Settings!$B$6,IF($E8&gt;Settings!$B$14,"NEITHER — over bench capacity",IF($E8&gt;=2*Settings!$B$12,Settings!$B$11,"NEITHER — under bench resolution")))))</f>
        <v>Bench scale</v>
      </c>
      <c r="G8" s="24" t="n">
        <f aca="false">IF($B8="","",IF($F8=Settings!$B$6,MAX(2*Settings!$B$7,Settings!$B$4*$E8),IF($F8=Settings!$B$11,MAX(2*Settings!$B$12,Settings!$B$4*$E8),"")))</f>
        <v>0.48</v>
      </c>
      <c r="H8" s="33" t="str">
        <f aca="false">IF($B8="","",IF(LEFT($F8,7)="NEITHER","Cannot be weighed — split it, premix it, or raise the batch size",IF($G8&gt;Settings!$B$4*$E8+0.0001,"Held to the scale's resolution, not "&amp;TEXT(Settings!$B$4,"0%"),"")))</f>
        <v/>
      </c>
    </row>
    <row r="9" customFormat="false" ht="15" hidden="false" customHeight="false" outlineLevel="0" collapsed="false">
      <c r="A9" s="20" t="str">
        <f aca="false">IF($B9="","",2)</f>
        <v/>
      </c>
      <c r="B9" s="21"/>
      <c r="C9" s="22"/>
      <c r="D9" s="23" t="str">
        <f aca="false">IF($B9="","",$C9/1000)</f>
        <v/>
      </c>
      <c r="E9" s="24" t="str">
        <f aca="false">IF($B9="","",$D9*$C$4)</f>
        <v/>
      </c>
      <c r="F9" s="25" t="str">
        <f aca="false">IF($B9="","",IF($E9&lt;=0,"NEITHER — zero",IF($E9&gt;=Settings!$B$19,Settings!$B$6,IF($E9&gt;Settings!$B$14,"NEITHER — over bench capacity",IF($E9&gt;=2*Settings!$B$12,Settings!$B$11,"NEITHER — under bench resolution")))))</f>
        <v/>
      </c>
      <c r="G9" s="24" t="str">
        <f aca="false">IF($B9="","",IF($F9=Settings!$B$6,MAX(2*Settings!$B$7,Settings!$B$4*$E9),IF($F9=Settings!$B$11,MAX(2*Settings!$B$12,Settings!$B$4*$E9),"")))</f>
        <v/>
      </c>
      <c r="H9" s="26" t="str">
        <f aca="false">IF($B9="","",IF(LEFT($F9,7)="NEITHER","Cannot be weighed — split it, premix it, or raise the batch size",IF($G9&gt;Settings!$B$4*$E9+0.0001,"Held to the scale's resolution, not "&amp;TEXT(Settings!$B$4,"0%"),"")))</f>
        <v/>
      </c>
    </row>
    <row r="10" customFormat="false" ht="15" hidden="false" customHeight="false" outlineLevel="0" collapsed="false">
      <c r="A10" s="20" t="str">
        <f aca="false">IF($B10="","",3)</f>
        <v/>
      </c>
      <c r="B10" s="21"/>
      <c r="C10" s="22"/>
      <c r="D10" s="23" t="str">
        <f aca="false">IF($B10="","",$C10/1000)</f>
        <v/>
      </c>
      <c r="E10" s="24" t="str">
        <f aca="false">IF($B10="","",$D10*$C$4)</f>
        <v/>
      </c>
      <c r="F10" s="25" t="str">
        <f aca="false">IF($B10="","",IF($E10&lt;=0,"NEITHER — zero",IF($E10&gt;=Settings!$B$19,Settings!$B$6,IF($E10&gt;Settings!$B$14,"NEITHER — over bench capacity",IF($E10&gt;=2*Settings!$B$12,Settings!$B$11,"NEITHER — under bench resolution")))))</f>
        <v/>
      </c>
      <c r="G10" s="24" t="str">
        <f aca="false">IF($B10="","",IF($F10=Settings!$B$6,MAX(2*Settings!$B$7,Settings!$B$4*$E10),IF($F10=Settings!$B$11,MAX(2*Settings!$B$12,Settings!$B$4*$E10),"")))</f>
        <v/>
      </c>
      <c r="H10" s="26" t="str">
        <f aca="false">IF($B10="","",IF(LEFT($F10,7)="NEITHER","Cannot be weighed — split it, premix it, or raise the batch size",IF($G10&gt;Settings!$B$4*$E10+0.0001,"Held to the scale's resolution, not "&amp;TEXT(Settings!$B$4,"0%"),"")))</f>
        <v/>
      </c>
    </row>
    <row r="11" customFormat="false" ht="15" hidden="false" customHeight="false" outlineLevel="0" collapsed="false">
      <c r="A11" s="20" t="str">
        <f aca="false">IF($B11="","",4)</f>
        <v/>
      </c>
      <c r="B11" s="21"/>
      <c r="C11" s="22"/>
      <c r="D11" s="23" t="str">
        <f aca="false">IF($B11="","",$C11/1000)</f>
        <v/>
      </c>
      <c r="E11" s="24" t="str">
        <f aca="false">IF($B11="","",$D11*$C$4)</f>
        <v/>
      </c>
      <c r="F11" s="25" t="str">
        <f aca="false">IF($B11="","",IF($E11&lt;=0,"NEITHER — zero",IF($E11&gt;=Settings!$B$19,Settings!$B$6,IF($E11&gt;Settings!$B$14,"NEITHER — over bench capacity",IF($E11&gt;=2*Settings!$B$12,Settings!$B$11,"NEITHER — under bench resolution")))))</f>
        <v/>
      </c>
      <c r="G11" s="24" t="str">
        <f aca="false">IF($B11="","",IF($F11=Settings!$B$6,MAX(2*Settings!$B$7,Settings!$B$4*$E11),IF($F11=Settings!$B$11,MAX(2*Settings!$B$12,Settings!$B$4*$E11),"")))</f>
        <v/>
      </c>
      <c r="H11" s="26" t="str">
        <f aca="false">IF($B11="","",IF(LEFT($F11,7)="NEITHER","Cannot be weighed — split it, premix it, or raise the batch size",IF($G11&gt;Settings!$B$4*$E11+0.0001,"Held to the scale's resolution, not "&amp;TEXT(Settings!$B$4,"0%"),"")))</f>
        <v/>
      </c>
    </row>
    <row r="12" customFormat="false" ht="15" hidden="false" customHeight="false" outlineLevel="0" collapsed="false">
      <c r="A12" s="20" t="str">
        <f aca="false">IF($B12="","",5)</f>
        <v/>
      </c>
      <c r="B12" s="21"/>
      <c r="C12" s="22"/>
      <c r="D12" s="23" t="str">
        <f aca="false">IF($B12="","",$C12/1000)</f>
        <v/>
      </c>
      <c r="E12" s="24" t="str">
        <f aca="false">IF($B12="","",$D12*$C$4)</f>
        <v/>
      </c>
      <c r="F12" s="25" t="str">
        <f aca="false">IF($B12="","",IF($E12&lt;=0,"NEITHER — zero",IF($E12&gt;=Settings!$B$19,Settings!$B$6,IF($E12&gt;Settings!$B$14,"NEITHER — over bench capacity",IF($E12&gt;=2*Settings!$B$12,Settings!$B$11,"NEITHER — under bench resolution")))))</f>
        <v/>
      </c>
      <c r="G12" s="24" t="str">
        <f aca="false">IF($B12="","",IF($F12=Settings!$B$6,MAX(2*Settings!$B$7,Settings!$B$4*$E12),IF($F12=Settings!$B$11,MAX(2*Settings!$B$12,Settings!$B$4*$E12),"")))</f>
        <v/>
      </c>
      <c r="H12" s="26" t="str">
        <f aca="false">IF($B12="","",IF(LEFT($F12,7)="NEITHER","Cannot be weighed — split it, premix it, or raise the batch size",IF($G12&gt;Settings!$B$4*$E12+0.0001,"Held to the scale's resolution, not "&amp;TEXT(Settings!$B$4,"0%"),"")))</f>
        <v/>
      </c>
    </row>
    <row r="13" customFormat="false" ht="15" hidden="false" customHeight="false" outlineLevel="0" collapsed="false">
      <c r="A13" s="20" t="str">
        <f aca="false">IF($B13="","",6)</f>
        <v/>
      </c>
      <c r="B13" s="21"/>
      <c r="C13" s="22"/>
      <c r="D13" s="23" t="str">
        <f aca="false">IF($B13="","",$C13/1000)</f>
        <v/>
      </c>
      <c r="E13" s="24" t="str">
        <f aca="false">IF($B13="","",$D13*$C$4)</f>
        <v/>
      </c>
      <c r="F13" s="25" t="str">
        <f aca="false">IF($B13="","",IF($E13&lt;=0,"NEITHER — zero",IF($E13&gt;=Settings!$B$19,Settings!$B$6,IF($E13&gt;Settings!$B$14,"NEITHER — over bench capacity",IF($E13&gt;=2*Settings!$B$12,Settings!$B$11,"NEITHER — under bench resolution")))))</f>
        <v/>
      </c>
      <c r="G13" s="24" t="str">
        <f aca="false">IF($B13="","",IF($F13=Settings!$B$6,MAX(2*Settings!$B$7,Settings!$B$4*$E13),IF($F13=Settings!$B$11,MAX(2*Settings!$B$12,Settings!$B$4*$E13),"")))</f>
        <v/>
      </c>
      <c r="H13" s="26" t="str">
        <f aca="false">IF($B13="","",IF(LEFT($F13,7)="NEITHER","Cannot be weighed — split it, premix it, or raise the batch size",IF($G13&gt;Settings!$B$4*$E13+0.0001,"Held to the scale's resolution, not "&amp;TEXT(Settings!$B$4,"0%"),"")))</f>
        <v/>
      </c>
    </row>
    <row r="14" customFormat="false" ht="15" hidden="false" customHeight="false" outlineLevel="0" collapsed="false">
      <c r="A14" s="20" t="str">
        <f aca="false">IF($B14="","",7)</f>
        <v/>
      </c>
      <c r="B14" s="21"/>
      <c r="C14" s="22"/>
      <c r="D14" s="23" t="str">
        <f aca="false">IF($B14="","",$C14/1000)</f>
        <v/>
      </c>
      <c r="E14" s="24" t="str">
        <f aca="false">IF($B14="","",$D14*$C$4)</f>
        <v/>
      </c>
      <c r="F14" s="25" t="str">
        <f aca="false">IF($B14="","",IF($E14&lt;=0,"NEITHER — zero",IF($E14&gt;=Settings!$B$19,Settings!$B$6,IF($E14&gt;Settings!$B$14,"NEITHER — over bench capacity",IF($E14&gt;=2*Settings!$B$12,Settings!$B$11,"NEITHER — under bench resolution")))))</f>
        <v/>
      </c>
      <c r="G14" s="24" t="str">
        <f aca="false">IF($B14="","",IF($F14=Settings!$B$6,MAX(2*Settings!$B$7,Settings!$B$4*$E14),IF($F14=Settings!$B$11,MAX(2*Settings!$B$12,Settings!$B$4*$E14),"")))</f>
        <v/>
      </c>
      <c r="H14" s="26" t="str">
        <f aca="false">IF($B14="","",IF(LEFT($F14,7)="NEITHER","Cannot be weighed — split it, premix it, or raise the batch size",IF($G14&gt;Settings!$B$4*$E14+0.0001,"Held to the scale's resolution, not "&amp;TEXT(Settings!$B$4,"0%"),"")))</f>
        <v/>
      </c>
    </row>
    <row r="15" customFormat="false" ht="15" hidden="false" customHeight="false" outlineLevel="0" collapsed="false">
      <c r="A15" s="20" t="str">
        <f aca="false">IF($B15="","",8)</f>
        <v/>
      </c>
      <c r="B15" s="21"/>
      <c r="C15" s="22"/>
      <c r="D15" s="23" t="str">
        <f aca="false">IF($B15="","",$C15/1000)</f>
        <v/>
      </c>
      <c r="E15" s="24" t="str">
        <f aca="false">IF($B15="","",$D15*$C$4)</f>
        <v/>
      </c>
      <c r="F15" s="25" t="str">
        <f aca="false">IF($B15="","",IF($E15&lt;=0,"NEITHER — zero",IF($E15&gt;=Settings!$B$19,Settings!$B$6,IF($E15&gt;Settings!$B$14,"NEITHER — over bench capacity",IF($E15&gt;=2*Settings!$B$12,Settings!$B$11,"NEITHER — under bench resolution")))))</f>
        <v/>
      </c>
      <c r="G15" s="24" t="str">
        <f aca="false">IF($B15="","",IF($F15=Settings!$B$6,MAX(2*Settings!$B$7,Settings!$B$4*$E15),IF($F15=Settings!$B$11,MAX(2*Settings!$B$12,Settings!$B$4*$E15),"")))</f>
        <v/>
      </c>
      <c r="H15" s="26" t="str">
        <f aca="false">IF($B15="","",IF(LEFT($F15,7)="NEITHER","Cannot be weighed — split it, premix it, or raise the batch size",IF($G15&gt;Settings!$B$4*$E15+0.0001,"Held to the scale's resolution, not "&amp;TEXT(Settings!$B$4,"0%"),"")))</f>
        <v/>
      </c>
    </row>
    <row r="16" customFormat="false" ht="15" hidden="false" customHeight="false" outlineLevel="0" collapsed="false">
      <c r="A16" s="20" t="str">
        <f aca="false">IF($B16="","",9)</f>
        <v/>
      </c>
      <c r="B16" s="21"/>
      <c r="C16" s="22"/>
      <c r="D16" s="23" t="str">
        <f aca="false">IF($B16="","",$C16/1000)</f>
        <v/>
      </c>
      <c r="E16" s="24" t="str">
        <f aca="false">IF($B16="","",$D16*$C$4)</f>
        <v/>
      </c>
      <c r="F16" s="25" t="str">
        <f aca="false">IF($B16="","",IF($E16&lt;=0,"NEITHER — zero",IF($E16&gt;=Settings!$B$19,Settings!$B$6,IF($E16&gt;Settings!$B$14,"NEITHER — over bench capacity",IF($E16&gt;=2*Settings!$B$12,Settings!$B$11,"NEITHER — under bench resolution")))))</f>
        <v/>
      </c>
      <c r="G16" s="24" t="str">
        <f aca="false">IF($B16="","",IF($F16=Settings!$B$6,MAX(2*Settings!$B$7,Settings!$B$4*$E16),IF($F16=Settings!$B$11,MAX(2*Settings!$B$12,Settings!$B$4*$E16),"")))</f>
        <v/>
      </c>
      <c r="H16" s="26" t="str">
        <f aca="false">IF($B16="","",IF(LEFT($F16,7)="NEITHER","Cannot be weighed — split it, premix it, or raise the batch size",IF($G16&gt;Settings!$B$4*$E16+0.0001,"Held to the scale's resolution, not "&amp;TEXT(Settings!$B$4,"0%"),"")))</f>
        <v/>
      </c>
    </row>
    <row r="17" customFormat="false" ht="15" hidden="false" customHeight="false" outlineLevel="0" collapsed="false">
      <c r="A17" s="20" t="str">
        <f aca="false">IF($B17="","",10)</f>
        <v/>
      </c>
      <c r="B17" s="21"/>
      <c r="C17" s="22"/>
      <c r="D17" s="23" t="str">
        <f aca="false">IF($B17="","",$C17/1000)</f>
        <v/>
      </c>
      <c r="E17" s="24" t="str">
        <f aca="false">IF($B17="","",$D17*$C$4)</f>
        <v/>
      </c>
      <c r="F17" s="25" t="str">
        <f aca="false">IF($B17="","",IF($E17&lt;=0,"NEITHER — zero",IF($E17&gt;=Settings!$B$19,Settings!$B$6,IF($E17&gt;Settings!$B$14,"NEITHER — over bench capacity",IF($E17&gt;=2*Settings!$B$12,Settings!$B$11,"NEITHER — under bench resolution")))))</f>
        <v/>
      </c>
      <c r="G17" s="24" t="str">
        <f aca="false">IF($B17="","",IF($F17=Settings!$B$6,MAX(2*Settings!$B$7,Settings!$B$4*$E17),IF($F17=Settings!$B$11,MAX(2*Settings!$B$12,Settings!$B$4*$E17),"")))</f>
        <v/>
      </c>
      <c r="H17" s="26" t="str">
        <f aca="false">IF($B17="","",IF(LEFT($F17,7)="NEITHER","Cannot be weighed — split it, premix it, or raise the batch size",IF($G17&gt;Settings!$B$4*$E17+0.0001,"Held to the scale's resolution, not "&amp;TEXT(Settings!$B$4,"0%"),"")))</f>
        <v/>
      </c>
    </row>
    <row r="18" customFormat="false" ht="15" hidden="false" customHeight="false" outlineLevel="0" collapsed="false">
      <c r="A18" s="20" t="str">
        <f aca="false">IF($B18="","",11)</f>
        <v/>
      </c>
      <c r="B18" s="21"/>
      <c r="C18" s="22"/>
      <c r="D18" s="23" t="str">
        <f aca="false">IF($B18="","",$C18/1000)</f>
        <v/>
      </c>
      <c r="E18" s="24" t="str">
        <f aca="false">IF($B18="","",$D18*$C$4)</f>
        <v/>
      </c>
      <c r="F18" s="25" t="str">
        <f aca="false">IF($B18="","",IF($E18&lt;=0,"NEITHER — zero",IF($E18&gt;=Settings!$B$19,Settings!$B$6,IF($E18&gt;Settings!$B$14,"NEITHER — over bench capacity",IF($E18&gt;=2*Settings!$B$12,Settings!$B$11,"NEITHER — under bench resolution")))))</f>
        <v/>
      </c>
      <c r="G18" s="24" t="str">
        <f aca="false">IF($B18="","",IF($F18=Settings!$B$6,MAX(2*Settings!$B$7,Settings!$B$4*$E18),IF($F18=Settings!$B$11,MAX(2*Settings!$B$12,Settings!$B$4*$E18),"")))</f>
        <v/>
      </c>
      <c r="H18" s="26" t="str">
        <f aca="false">IF($B18="","",IF(LEFT($F18,7)="NEITHER","Cannot be weighed — split it, premix it, or raise the batch size",IF($G18&gt;Settings!$B$4*$E18+0.0001,"Held to the scale's resolution, not "&amp;TEXT(Settings!$B$4,"0%"),"")))</f>
        <v/>
      </c>
    </row>
    <row r="19" customFormat="false" ht="15" hidden="false" customHeight="false" outlineLevel="0" collapsed="false">
      <c r="A19" s="20" t="str">
        <f aca="false">IF($B19="","",12)</f>
        <v/>
      </c>
      <c r="B19" s="21"/>
      <c r="C19" s="22"/>
      <c r="D19" s="23" t="str">
        <f aca="false">IF($B19="","",$C19/1000)</f>
        <v/>
      </c>
      <c r="E19" s="24" t="str">
        <f aca="false">IF($B19="","",$D19*$C$4)</f>
        <v/>
      </c>
      <c r="F19" s="25" t="str">
        <f aca="false">IF($B19="","",IF($E19&lt;=0,"NEITHER — zero",IF($E19&gt;=Settings!$B$19,Settings!$B$6,IF($E19&gt;Settings!$B$14,"NEITHER — over bench capacity",IF($E19&gt;=2*Settings!$B$12,Settings!$B$11,"NEITHER — under bench resolution")))))</f>
        <v/>
      </c>
      <c r="G19" s="24" t="str">
        <f aca="false">IF($B19="","",IF($F19=Settings!$B$6,MAX(2*Settings!$B$7,Settings!$B$4*$E19),IF($F19=Settings!$B$11,MAX(2*Settings!$B$12,Settings!$B$4*$E19),"")))</f>
        <v/>
      </c>
      <c r="H19" s="26" t="str">
        <f aca="false">IF($B19="","",IF(LEFT($F19,7)="NEITHER","Cannot be weighed — split it, premix it, or raise the batch size",IF($G19&gt;Settings!$B$4*$E19+0.0001,"Held to the scale's resolution, not "&amp;TEXT(Settings!$B$4,"0%"),"")))</f>
        <v/>
      </c>
    </row>
    <row r="20" customFormat="false" ht="15" hidden="false" customHeight="false" outlineLevel="0" collapsed="false">
      <c r="A20" s="20" t="str">
        <f aca="false">IF($B20="","",13)</f>
        <v/>
      </c>
      <c r="B20" s="21"/>
      <c r="C20" s="22"/>
      <c r="D20" s="23" t="str">
        <f aca="false">IF($B20="","",$C20/1000)</f>
        <v/>
      </c>
      <c r="E20" s="24" t="str">
        <f aca="false">IF($B20="","",$D20*$C$4)</f>
        <v/>
      </c>
      <c r="F20" s="25" t="str">
        <f aca="false">IF($B20="","",IF($E20&lt;=0,"NEITHER — zero",IF($E20&gt;=Settings!$B$19,Settings!$B$6,IF($E20&gt;Settings!$B$14,"NEITHER — over bench capacity",IF($E20&gt;=2*Settings!$B$12,Settings!$B$11,"NEITHER — under bench resolution")))))</f>
        <v/>
      </c>
      <c r="G20" s="24" t="str">
        <f aca="false">IF($B20="","",IF($F20=Settings!$B$6,MAX(2*Settings!$B$7,Settings!$B$4*$E20),IF($F20=Settings!$B$11,MAX(2*Settings!$B$12,Settings!$B$4*$E20),"")))</f>
        <v/>
      </c>
      <c r="H20" s="26" t="str">
        <f aca="false">IF($B20="","",IF(LEFT($F20,7)="NEITHER","Cannot be weighed — split it, premix it, or raise the batch size",IF($G20&gt;Settings!$B$4*$E20+0.0001,"Held to the scale's resolution, not "&amp;TEXT(Settings!$B$4,"0%"),"")))</f>
        <v/>
      </c>
    </row>
    <row r="21" customFormat="false" ht="15" hidden="false" customHeight="false" outlineLevel="0" collapsed="false">
      <c r="A21" s="20" t="str">
        <f aca="false">IF($B21="","",14)</f>
        <v/>
      </c>
      <c r="B21" s="21"/>
      <c r="C21" s="22"/>
      <c r="D21" s="23" t="str">
        <f aca="false">IF($B21="","",$C21/1000)</f>
        <v/>
      </c>
      <c r="E21" s="24" t="str">
        <f aca="false">IF($B21="","",$D21*$C$4)</f>
        <v/>
      </c>
      <c r="F21" s="25" t="str">
        <f aca="false">IF($B21="","",IF($E21&lt;=0,"NEITHER — zero",IF($E21&gt;=Settings!$B$19,Settings!$B$6,IF($E21&gt;Settings!$B$14,"NEITHER — over bench capacity",IF($E21&gt;=2*Settings!$B$12,Settings!$B$11,"NEITHER — under bench resolution")))))</f>
        <v/>
      </c>
      <c r="G21" s="24" t="str">
        <f aca="false">IF($B21="","",IF($F21=Settings!$B$6,MAX(2*Settings!$B$7,Settings!$B$4*$E21),IF($F21=Settings!$B$11,MAX(2*Settings!$B$12,Settings!$B$4*$E21),"")))</f>
        <v/>
      </c>
      <c r="H21" s="26" t="str">
        <f aca="false">IF($B21="","",IF(LEFT($F21,7)="NEITHER","Cannot be weighed — split it, premix it, or raise the batch size",IF($G21&gt;Settings!$B$4*$E21+0.0001,"Held to the scale's resolution, not "&amp;TEXT(Settings!$B$4,"0%"),"")))</f>
        <v/>
      </c>
    </row>
    <row r="22" customFormat="false" ht="15" hidden="false" customHeight="false" outlineLevel="0" collapsed="false">
      <c r="A22" s="20" t="str">
        <f aca="false">IF($B22="","",15)</f>
        <v/>
      </c>
      <c r="B22" s="21"/>
      <c r="C22" s="22"/>
      <c r="D22" s="23" t="str">
        <f aca="false">IF($B22="","",$C22/1000)</f>
        <v/>
      </c>
      <c r="E22" s="24" t="str">
        <f aca="false">IF($B22="","",$D22*$C$4)</f>
        <v/>
      </c>
      <c r="F22" s="25" t="str">
        <f aca="false">IF($B22="","",IF($E22&lt;=0,"NEITHER — zero",IF($E22&gt;=Settings!$B$19,Settings!$B$6,IF($E22&gt;Settings!$B$14,"NEITHER — over bench capacity",IF($E22&gt;=2*Settings!$B$12,Settings!$B$11,"NEITHER — under bench resolution")))))</f>
        <v/>
      </c>
      <c r="G22" s="24" t="str">
        <f aca="false">IF($B22="","",IF($F22=Settings!$B$6,MAX(2*Settings!$B$7,Settings!$B$4*$E22),IF($F22=Settings!$B$11,MAX(2*Settings!$B$12,Settings!$B$4*$E22),"")))</f>
        <v/>
      </c>
      <c r="H22" s="26" t="str">
        <f aca="false">IF($B22="","",IF(LEFT($F22,7)="NEITHER","Cannot be weighed — split it, premix it, or raise the batch size",IF($G22&gt;Settings!$B$4*$E22+0.0001,"Held to the scale's resolution, not "&amp;TEXT(Settings!$B$4,"0%"),"")))</f>
        <v/>
      </c>
    </row>
    <row r="23" customFormat="false" ht="15" hidden="false" customHeight="false" outlineLevel="0" collapsed="false">
      <c r="A23" s="20" t="str">
        <f aca="false">IF($B23="","",16)</f>
        <v/>
      </c>
      <c r="B23" s="21"/>
      <c r="C23" s="22"/>
      <c r="D23" s="23" t="str">
        <f aca="false">IF($B23="","",$C23/1000)</f>
        <v/>
      </c>
      <c r="E23" s="24" t="str">
        <f aca="false">IF($B23="","",$D23*$C$4)</f>
        <v/>
      </c>
      <c r="F23" s="25" t="str">
        <f aca="false">IF($B23="","",IF($E23&lt;=0,"NEITHER — zero",IF($E23&gt;=Settings!$B$19,Settings!$B$6,IF($E23&gt;Settings!$B$14,"NEITHER — over bench capacity",IF($E23&gt;=2*Settings!$B$12,Settings!$B$11,"NEITHER — under bench resolution")))))</f>
        <v/>
      </c>
      <c r="G23" s="24" t="str">
        <f aca="false">IF($B23="","",IF($F23=Settings!$B$6,MAX(2*Settings!$B$7,Settings!$B$4*$E23),IF($F23=Settings!$B$11,MAX(2*Settings!$B$12,Settings!$B$4*$E23),"")))</f>
        <v/>
      </c>
      <c r="H23" s="26" t="str">
        <f aca="false">IF($B23="","",IF(LEFT($F23,7)="NEITHER","Cannot be weighed — split it, premix it, or raise the batch size",IF($G23&gt;Settings!$B$4*$E23+0.0001,"Held to the scale's resolution, not "&amp;TEXT(Settings!$B$4,"0%"),"")))</f>
        <v/>
      </c>
    </row>
    <row r="24" customFormat="false" ht="15" hidden="false" customHeight="false" outlineLevel="0" collapsed="false">
      <c r="A24" s="20" t="str">
        <f aca="false">IF($B24="","",17)</f>
        <v/>
      </c>
      <c r="B24" s="21"/>
      <c r="C24" s="22"/>
      <c r="D24" s="23" t="str">
        <f aca="false">IF($B24="","",$C24/1000)</f>
        <v/>
      </c>
      <c r="E24" s="24" t="str">
        <f aca="false">IF($B24="","",$D24*$C$4)</f>
        <v/>
      </c>
      <c r="F24" s="25" t="str">
        <f aca="false">IF($B24="","",IF($E24&lt;=0,"NEITHER — zero",IF($E24&gt;=Settings!$B$19,Settings!$B$6,IF($E24&gt;Settings!$B$14,"NEITHER — over bench capacity",IF($E24&gt;=2*Settings!$B$12,Settings!$B$11,"NEITHER — under bench resolution")))))</f>
        <v/>
      </c>
      <c r="G24" s="24" t="str">
        <f aca="false">IF($B24="","",IF($F24=Settings!$B$6,MAX(2*Settings!$B$7,Settings!$B$4*$E24),IF($F24=Settings!$B$11,MAX(2*Settings!$B$12,Settings!$B$4*$E24),"")))</f>
        <v/>
      </c>
      <c r="H24" s="26" t="str">
        <f aca="false">IF($B24="","",IF(LEFT($F24,7)="NEITHER","Cannot be weighed — split it, premix it, or raise the batch size",IF($G24&gt;Settings!$B$4*$E24+0.0001,"Held to the scale's resolution, not "&amp;TEXT(Settings!$B$4,"0%"),"")))</f>
        <v/>
      </c>
    </row>
    <row r="25" customFormat="false" ht="15" hidden="false" customHeight="false" outlineLevel="0" collapsed="false">
      <c r="A25" s="20" t="str">
        <f aca="false">IF($B25="","",18)</f>
        <v/>
      </c>
      <c r="B25" s="21"/>
      <c r="C25" s="22"/>
      <c r="D25" s="23" t="str">
        <f aca="false">IF($B25="","",$C25/1000)</f>
        <v/>
      </c>
      <c r="E25" s="24" t="str">
        <f aca="false">IF($B25="","",$D25*$C$4)</f>
        <v/>
      </c>
      <c r="F25" s="25" t="str">
        <f aca="false">IF($B25="","",IF($E25&lt;=0,"NEITHER — zero",IF($E25&gt;=Settings!$B$19,Settings!$B$6,IF($E25&gt;Settings!$B$14,"NEITHER — over bench capacity",IF($E25&gt;=2*Settings!$B$12,Settings!$B$11,"NEITHER — under bench resolution")))))</f>
        <v/>
      </c>
      <c r="G25" s="24" t="str">
        <f aca="false">IF($B25="","",IF($F25=Settings!$B$6,MAX(2*Settings!$B$7,Settings!$B$4*$E25),IF($F25=Settings!$B$11,MAX(2*Settings!$B$12,Settings!$B$4*$E25),"")))</f>
        <v/>
      </c>
      <c r="H25" s="26" t="str">
        <f aca="false">IF($B25="","",IF(LEFT($F25,7)="NEITHER","Cannot be weighed — split it, premix it, or raise the batch size",IF($G25&gt;Settings!$B$4*$E25+0.0001,"Held to the scale's resolution, not "&amp;TEXT(Settings!$B$4,"0%"),"")))</f>
        <v/>
      </c>
    </row>
    <row r="26" customFormat="false" ht="15" hidden="false" customHeight="false" outlineLevel="0" collapsed="false">
      <c r="A26" s="20" t="str">
        <f aca="false">IF($B26="","",19)</f>
        <v/>
      </c>
      <c r="B26" s="21"/>
      <c r="C26" s="22"/>
      <c r="D26" s="23" t="str">
        <f aca="false">IF($B26="","",$C26/1000)</f>
        <v/>
      </c>
      <c r="E26" s="24" t="str">
        <f aca="false">IF($B26="","",$D26*$C$4)</f>
        <v/>
      </c>
      <c r="F26" s="25" t="str">
        <f aca="false">IF($B26="","",IF($E26&lt;=0,"NEITHER — zero",IF($E26&gt;=Settings!$B$19,Settings!$B$6,IF($E26&gt;Settings!$B$14,"NEITHER — over bench capacity",IF($E26&gt;=2*Settings!$B$12,Settings!$B$11,"NEITHER — under bench resolution")))))</f>
        <v/>
      </c>
      <c r="G26" s="24" t="str">
        <f aca="false">IF($B26="","",IF($F26=Settings!$B$6,MAX(2*Settings!$B$7,Settings!$B$4*$E26),IF($F26=Settings!$B$11,MAX(2*Settings!$B$12,Settings!$B$4*$E26),"")))</f>
        <v/>
      </c>
      <c r="H26" s="26" t="str">
        <f aca="false">IF($B26="","",IF(LEFT($F26,7)="NEITHER","Cannot be weighed — split it, premix it, or raise the batch size",IF($G26&gt;Settings!$B$4*$E26+0.0001,"Held to the scale's resolution, not "&amp;TEXT(Settings!$B$4,"0%"),"")))</f>
        <v/>
      </c>
    </row>
    <row r="27" customFormat="false" ht="15" hidden="false" customHeight="false" outlineLevel="0" collapsed="false">
      <c r="A27" s="20" t="str">
        <f aca="false">IF($B27="","",20)</f>
        <v/>
      </c>
      <c r="B27" s="21"/>
      <c r="C27" s="22"/>
      <c r="D27" s="23" t="str">
        <f aca="false">IF($B27="","",$C27/1000)</f>
        <v/>
      </c>
      <c r="E27" s="24" t="str">
        <f aca="false">IF($B27="","",$D27*$C$4)</f>
        <v/>
      </c>
      <c r="F27" s="25" t="str">
        <f aca="false">IF($B27="","",IF($E27&lt;=0,"NEITHER — zero",IF($E27&gt;=Settings!$B$19,Settings!$B$6,IF($E27&gt;Settings!$B$14,"NEITHER — over bench capacity",IF($E27&gt;=2*Settings!$B$12,Settings!$B$11,"NEITHER — under bench resolution")))))</f>
        <v/>
      </c>
      <c r="G27" s="24" t="str">
        <f aca="false">IF($B27="","",IF($F27=Settings!$B$6,MAX(2*Settings!$B$7,Settings!$B$4*$E27),IF($F27=Settings!$B$11,MAX(2*Settings!$B$12,Settings!$B$4*$E27),"")))</f>
        <v/>
      </c>
      <c r="H27" s="26" t="str">
        <f aca="false">IF($B27="","",IF(LEFT($F27,7)="NEITHER","Cannot be weighed — split it, premix it, or raise the batch size",IF($G27&gt;Settings!$B$4*$E27+0.0001,"Held to the scale's resolution, not "&amp;TEXT(Settings!$B$4,"0%"),"")))</f>
        <v/>
      </c>
    </row>
    <row r="28" customFormat="false" ht="15" hidden="false" customHeight="false" outlineLevel="0" collapsed="false">
      <c r="A28" s="20" t="str">
        <f aca="false">IF($B28="","",21)</f>
        <v/>
      </c>
      <c r="B28" s="21"/>
      <c r="C28" s="22"/>
      <c r="D28" s="23" t="str">
        <f aca="false">IF($B28="","",$C28/1000)</f>
        <v/>
      </c>
      <c r="E28" s="24" t="str">
        <f aca="false">IF($B28="","",$D28*$C$4)</f>
        <v/>
      </c>
      <c r="F28" s="25" t="str">
        <f aca="false">IF($B28="","",IF($E28&lt;=0,"NEITHER — zero",IF($E28&gt;=Settings!$B$19,Settings!$B$6,IF($E28&gt;Settings!$B$14,"NEITHER — over bench capacity",IF($E28&gt;=2*Settings!$B$12,Settings!$B$11,"NEITHER — under bench resolution")))))</f>
        <v/>
      </c>
      <c r="G28" s="24" t="str">
        <f aca="false">IF($B28="","",IF($F28=Settings!$B$6,MAX(2*Settings!$B$7,Settings!$B$4*$E28),IF($F28=Settings!$B$11,MAX(2*Settings!$B$12,Settings!$B$4*$E28),"")))</f>
        <v/>
      </c>
      <c r="H28" s="26" t="str">
        <f aca="false">IF($B28="","",IF(LEFT($F28,7)="NEITHER","Cannot be weighed — split it, premix it, or raise the batch size",IF($G28&gt;Settings!$B$4*$E28+0.0001,"Held to the scale's resolution, not "&amp;TEXT(Settings!$B$4,"0%"),"")))</f>
        <v/>
      </c>
    </row>
    <row r="29" customFormat="false" ht="15" hidden="false" customHeight="false" outlineLevel="0" collapsed="false">
      <c r="A29" s="20" t="str">
        <f aca="false">IF($B29="","",22)</f>
        <v/>
      </c>
      <c r="B29" s="21"/>
      <c r="C29" s="22"/>
      <c r="D29" s="23" t="str">
        <f aca="false">IF($B29="","",$C29/1000)</f>
        <v/>
      </c>
      <c r="E29" s="24" t="str">
        <f aca="false">IF($B29="","",$D29*$C$4)</f>
        <v/>
      </c>
      <c r="F29" s="25" t="str">
        <f aca="false">IF($B29="","",IF($E29&lt;=0,"NEITHER — zero",IF($E29&gt;=Settings!$B$19,Settings!$B$6,IF($E29&gt;Settings!$B$14,"NEITHER — over bench capacity",IF($E29&gt;=2*Settings!$B$12,Settings!$B$11,"NEITHER — under bench resolution")))))</f>
        <v/>
      </c>
      <c r="G29" s="24" t="str">
        <f aca="false">IF($B29="","",IF($F29=Settings!$B$6,MAX(2*Settings!$B$7,Settings!$B$4*$E29),IF($F29=Settings!$B$11,MAX(2*Settings!$B$12,Settings!$B$4*$E29),"")))</f>
        <v/>
      </c>
      <c r="H29" s="26" t="str">
        <f aca="false">IF($B29="","",IF(LEFT($F29,7)="NEITHER","Cannot be weighed — split it, premix it, or raise the batch size",IF($G29&gt;Settings!$B$4*$E29+0.0001,"Held to the scale's resolution, not "&amp;TEXT(Settings!$B$4,"0%"),"")))</f>
        <v/>
      </c>
    </row>
    <row r="30" customFormat="false" ht="15" hidden="false" customHeight="false" outlineLevel="0" collapsed="false">
      <c r="A30" s="20" t="str">
        <f aca="false">IF($B30="","",23)</f>
        <v/>
      </c>
      <c r="B30" s="21"/>
      <c r="C30" s="22"/>
      <c r="D30" s="23" t="str">
        <f aca="false">IF($B30="","",$C30/1000)</f>
        <v/>
      </c>
      <c r="E30" s="24" t="str">
        <f aca="false">IF($B30="","",$D30*$C$4)</f>
        <v/>
      </c>
      <c r="F30" s="25" t="str">
        <f aca="false">IF($B30="","",IF($E30&lt;=0,"NEITHER — zero",IF($E30&gt;=Settings!$B$19,Settings!$B$6,IF($E30&gt;Settings!$B$14,"NEITHER — over bench capacity",IF($E30&gt;=2*Settings!$B$12,Settings!$B$11,"NEITHER — under bench resolution")))))</f>
        <v/>
      </c>
      <c r="G30" s="24" t="str">
        <f aca="false">IF($B30="","",IF($F30=Settings!$B$6,MAX(2*Settings!$B$7,Settings!$B$4*$E30),IF($F30=Settings!$B$11,MAX(2*Settings!$B$12,Settings!$B$4*$E30),"")))</f>
        <v/>
      </c>
      <c r="H30" s="26" t="str">
        <f aca="false">IF($B30="","",IF(LEFT($F30,7)="NEITHER","Cannot be weighed — split it, premix it, or raise the batch size",IF($G30&gt;Settings!$B$4*$E30+0.0001,"Held to the scale's resolution, not "&amp;TEXT(Settings!$B$4,"0%"),"")))</f>
        <v/>
      </c>
    </row>
    <row r="31" customFormat="false" ht="15" hidden="false" customHeight="false" outlineLevel="0" collapsed="false">
      <c r="A31" s="20" t="str">
        <f aca="false">IF($B31="","",24)</f>
        <v/>
      </c>
      <c r="B31" s="21"/>
      <c r="C31" s="22"/>
      <c r="D31" s="23" t="str">
        <f aca="false">IF($B31="","",$C31/1000)</f>
        <v/>
      </c>
      <c r="E31" s="24" t="str">
        <f aca="false">IF($B31="","",$D31*$C$4)</f>
        <v/>
      </c>
      <c r="F31" s="25" t="str">
        <f aca="false">IF($B31="","",IF($E31&lt;=0,"NEITHER — zero",IF($E31&gt;=Settings!$B$19,Settings!$B$6,IF($E31&gt;Settings!$B$14,"NEITHER — over bench capacity",IF($E31&gt;=2*Settings!$B$12,Settings!$B$11,"NEITHER — under bench resolution")))))</f>
        <v/>
      </c>
      <c r="G31" s="24" t="str">
        <f aca="false">IF($B31="","",IF($F31=Settings!$B$6,MAX(2*Settings!$B$7,Settings!$B$4*$E31),IF($F31=Settings!$B$11,MAX(2*Settings!$B$12,Settings!$B$4*$E31),"")))</f>
        <v/>
      </c>
      <c r="H31" s="26" t="str">
        <f aca="false">IF($B31="","",IF(LEFT($F31,7)="NEITHER","Cannot be weighed — split it, premix it, or raise the batch size",IF($G31&gt;Settings!$B$4*$E31+0.0001,"Held to the scale's resolution, not "&amp;TEXT(Settings!$B$4,"0%"),"")))</f>
        <v/>
      </c>
    </row>
    <row r="32" customFormat="false" ht="15" hidden="false" customHeight="false" outlineLevel="0" collapsed="false">
      <c r="A32" s="20" t="str">
        <f aca="false">IF($B32="","",25)</f>
        <v/>
      </c>
      <c r="B32" s="21"/>
      <c r="C32" s="22"/>
      <c r="D32" s="23" t="str">
        <f aca="false">IF($B32="","",$C32/1000)</f>
        <v/>
      </c>
      <c r="E32" s="24" t="str">
        <f aca="false">IF($B32="","",$D32*$C$4)</f>
        <v/>
      </c>
      <c r="F32" s="25" t="str">
        <f aca="false">IF($B32="","",IF($E32&lt;=0,"NEITHER — zero",IF($E32&gt;=Settings!$B$19,Settings!$B$6,IF($E32&gt;Settings!$B$14,"NEITHER — over bench capacity",IF($E32&gt;=2*Settings!$B$12,Settings!$B$11,"NEITHER — under bench resolution")))))</f>
        <v/>
      </c>
      <c r="G32" s="24" t="str">
        <f aca="false">IF($B32="","",IF($F32=Settings!$B$6,MAX(2*Settings!$B$7,Settings!$B$4*$E32),IF($F32=Settings!$B$11,MAX(2*Settings!$B$12,Settings!$B$4*$E32),"")))</f>
        <v/>
      </c>
      <c r="H32" s="26" t="str">
        <f aca="false">IF($B32="","",IF(LEFT($F32,7)="NEITHER","Cannot be weighed — split it, premix it, or raise the batch size",IF($G32&gt;Settings!$B$4*$E32+0.0001,"Held to the scale's resolution, not "&amp;TEXT(Settings!$B$4,"0%"),"")))</f>
        <v/>
      </c>
    </row>
    <row r="33" customFormat="false" ht="15" hidden="false" customHeight="false" outlineLevel="0" collapsed="false">
      <c r="A33" s="20" t="str">
        <f aca="false">IF($B33="","",26)</f>
        <v/>
      </c>
      <c r="B33" s="21"/>
      <c r="C33" s="22"/>
      <c r="D33" s="23" t="str">
        <f aca="false">IF($B33="","",$C33/1000)</f>
        <v/>
      </c>
      <c r="E33" s="24" t="str">
        <f aca="false">IF($B33="","",$D33*$C$4)</f>
        <v/>
      </c>
      <c r="F33" s="25" t="str">
        <f aca="false">IF($B33="","",IF($E33&lt;=0,"NEITHER — zero",IF($E33&gt;=Settings!$B$19,Settings!$B$6,IF($E33&gt;Settings!$B$14,"NEITHER — over bench capacity",IF($E33&gt;=2*Settings!$B$12,Settings!$B$11,"NEITHER — under bench resolution")))))</f>
        <v/>
      </c>
      <c r="G33" s="24" t="str">
        <f aca="false">IF($B33="","",IF($F33=Settings!$B$6,MAX(2*Settings!$B$7,Settings!$B$4*$E33),IF($F33=Settings!$B$11,MAX(2*Settings!$B$12,Settings!$B$4*$E33),"")))</f>
        <v/>
      </c>
      <c r="H33" s="26" t="str">
        <f aca="false">IF($B33="","",IF(LEFT($F33,7)="NEITHER","Cannot be weighed — split it, premix it, or raise the batch size",IF($G33&gt;Settings!$B$4*$E33+0.0001,"Held to the scale's resolution, not "&amp;TEXT(Settings!$B$4,"0%"),"")))</f>
        <v/>
      </c>
    </row>
    <row r="34" customFormat="false" ht="15" hidden="false" customHeight="false" outlineLevel="0" collapsed="false">
      <c r="A34" s="20" t="str">
        <f aca="false">IF($B34="","",27)</f>
        <v/>
      </c>
      <c r="B34" s="21"/>
      <c r="C34" s="22"/>
      <c r="D34" s="23" t="str">
        <f aca="false">IF($B34="","",$C34/1000)</f>
        <v/>
      </c>
      <c r="E34" s="24" t="str">
        <f aca="false">IF($B34="","",$D34*$C$4)</f>
        <v/>
      </c>
      <c r="F34" s="25" t="str">
        <f aca="false">IF($B34="","",IF($E34&lt;=0,"NEITHER — zero",IF($E34&gt;=Settings!$B$19,Settings!$B$6,IF($E34&gt;Settings!$B$14,"NEITHER — over bench capacity",IF($E34&gt;=2*Settings!$B$12,Settings!$B$11,"NEITHER — under bench resolution")))))</f>
        <v/>
      </c>
      <c r="G34" s="24" t="str">
        <f aca="false">IF($B34="","",IF($F34=Settings!$B$6,MAX(2*Settings!$B$7,Settings!$B$4*$E34),IF($F34=Settings!$B$11,MAX(2*Settings!$B$12,Settings!$B$4*$E34),"")))</f>
        <v/>
      </c>
      <c r="H34" s="26" t="str">
        <f aca="false">IF($B34="","",IF(LEFT($F34,7)="NEITHER","Cannot be weighed — split it, premix it, or raise the batch size",IF($G34&gt;Settings!$B$4*$E34+0.0001,"Held to the scale's resolution, not "&amp;TEXT(Settings!$B$4,"0%"),"")))</f>
        <v/>
      </c>
    </row>
    <row r="35" customFormat="false" ht="15" hidden="false" customHeight="false" outlineLevel="0" collapsed="false">
      <c r="A35" s="20" t="str">
        <f aca="false">IF($B35="","",28)</f>
        <v/>
      </c>
      <c r="B35" s="21"/>
      <c r="C35" s="22"/>
      <c r="D35" s="23" t="str">
        <f aca="false">IF($B35="","",$C35/1000)</f>
        <v/>
      </c>
      <c r="E35" s="24" t="str">
        <f aca="false">IF($B35="","",$D35*$C$4)</f>
        <v/>
      </c>
      <c r="F35" s="25" t="str">
        <f aca="false">IF($B35="","",IF($E35&lt;=0,"NEITHER — zero",IF($E35&gt;=Settings!$B$19,Settings!$B$6,IF($E35&gt;Settings!$B$14,"NEITHER — over bench capacity",IF($E35&gt;=2*Settings!$B$12,Settings!$B$11,"NEITHER — under bench resolution")))))</f>
        <v/>
      </c>
      <c r="G35" s="24" t="str">
        <f aca="false">IF($B35="","",IF($F35=Settings!$B$6,MAX(2*Settings!$B$7,Settings!$B$4*$E35),IF($F35=Settings!$B$11,MAX(2*Settings!$B$12,Settings!$B$4*$E35),"")))</f>
        <v/>
      </c>
      <c r="H35" s="26" t="str">
        <f aca="false">IF($B35="","",IF(LEFT($F35,7)="NEITHER","Cannot be weighed — split it, premix it, or raise the batch size",IF($G35&gt;Settings!$B$4*$E35+0.0001,"Held to the scale's resolution, not "&amp;TEXT(Settings!$B$4,"0%"),"")))</f>
        <v/>
      </c>
    </row>
    <row r="36" customFormat="false" ht="15" hidden="false" customHeight="false" outlineLevel="0" collapsed="false">
      <c r="A36" s="20" t="str">
        <f aca="false">IF($B36="","",29)</f>
        <v/>
      </c>
      <c r="B36" s="21"/>
      <c r="C36" s="22"/>
      <c r="D36" s="23" t="str">
        <f aca="false">IF($B36="","",$C36/1000)</f>
        <v/>
      </c>
      <c r="E36" s="24" t="str">
        <f aca="false">IF($B36="","",$D36*$C$4)</f>
        <v/>
      </c>
      <c r="F36" s="25" t="str">
        <f aca="false">IF($B36="","",IF($E36&lt;=0,"NEITHER — zero",IF($E36&gt;=Settings!$B$19,Settings!$B$6,IF($E36&gt;Settings!$B$14,"NEITHER — over bench capacity",IF($E36&gt;=2*Settings!$B$12,Settings!$B$11,"NEITHER — under bench resolution")))))</f>
        <v/>
      </c>
      <c r="G36" s="24" t="str">
        <f aca="false">IF($B36="","",IF($F36=Settings!$B$6,MAX(2*Settings!$B$7,Settings!$B$4*$E36),IF($F36=Settings!$B$11,MAX(2*Settings!$B$12,Settings!$B$4*$E36),"")))</f>
        <v/>
      </c>
      <c r="H36" s="26" t="str">
        <f aca="false">IF($B36="","",IF(LEFT($F36,7)="NEITHER","Cannot be weighed — split it, premix it, or raise the batch size",IF($G36&gt;Settings!$B$4*$E36+0.0001,"Held to the scale's resolution, not "&amp;TEXT(Settings!$B$4,"0%"),"")))</f>
        <v/>
      </c>
    </row>
    <row r="37" customFormat="false" ht="15" hidden="false" customHeight="false" outlineLevel="0" collapsed="false">
      <c r="A37" s="20" t="str">
        <f aca="false">IF($B37="","",30)</f>
        <v/>
      </c>
      <c r="B37" s="21"/>
      <c r="C37" s="22"/>
      <c r="D37" s="23" t="str">
        <f aca="false">IF($B37="","",$C37/1000)</f>
        <v/>
      </c>
      <c r="E37" s="24" t="str">
        <f aca="false">IF($B37="","",$D37*$C$4)</f>
        <v/>
      </c>
      <c r="F37" s="25" t="str">
        <f aca="false">IF($B37="","",IF($E37&lt;=0,"NEITHER — zero",IF($E37&gt;=Settings!$B$19,Settings!$B$6,IF($E37&gt;Settings!$B$14,"NEITHER — over bench capacity",IF($E37&gt;=2*Settings!$B$12,Settings!$B$11,"NEITHER — under bench resolution")))))</f>
        <v/>
      </c>
      <c r="G37" s="24" t="str">
        <f aca="false">IF($B37="","",IF($F37=Settings!$B$6,MAX(2*Settings!$B$7,Settings!$B$4*$E37),IF($F37=Settings!$B$11,MAX(2*Settings!$B$12,Settings!$B$4*$E37),"")))</f>
        <v/>
      </c>
      <c r="H37" s="26" t="str">
        <f aca="false">IF($B37="","",IF(LEFT($F37,7)="NEITHER","Cannot be weighed — split it, premix it, or raise the batch size",IF($G37&gt;Settings!$B$4*$E37+0.0001,"Held to the scale's resolution, not "&amp;TEXT(Settings!$B$4,"0%"),"")))</f>
        <v/>
      </c>
    </row>
    <row r="38" customFormat="false" ht="15" hidden="false" customHeight="false" outlineLevel="0" collapsed="false">
      <c r="A38" s="20" t="str">
        <f aca="false">IF($B38="","",31)</f>
        <v/>
      </c>
      <c r="B38" s="21"/>
      <c r="C38" s="22"/>
      <c r="D38" s="23" t="str">
        <f aca="false">IF($B38="","",$C38/1000)</f>
        <v/>
      </c>
      <c r="E38" s="24" t="str">
        <f aca="false">IF($B38="","",$D38*$C$4)</f>
        <v/>
      </c>
      <c r="F38" s="25" t="str">
        <f aca="false">IF($B38="","",IF($E38&lt;=0,"NEITHER — zero",IF($E38&gt;=Settings!$B$19,Settings!$B$6,IF($E38&gt;Settings!$B$14,"NEITHER — over bench capacity",IF($E38&gt;=2*Settings!$B$12,Settings!$B$11,"NEITHER — under bench resolution")))))</f>
        <v/>
      </c>
      <c r="G38" s="24" t="str">
        <f aca="false">IF($B38="","",IF($F38=Settings!$B$6,MAX(2*Settings!$B$7,Settings!$B$4*$E38),IF($F38=Settings!$B$11,MAX(2*Settings!$B$12,Settings!$B$4*$E38),"")))</f>
        <v/>
      </c>
      <c r="H38" s="26" t="str">
        <f aca="false">IF($B38="","",IF(LEFT($F38,7)="NEITHER","Cannot be weighed — split it, premix it, or raise the batch size",IF($G38&gt;Settings!$B$4*$E38+0.0001,"Held to the scale's resolution, not "&amp;TEXT(Settings!$B$4,"0%"),"")))</f>
        <v/>
      </c>
    </row>
    <row r="39" customFormat="false" ht="15" hidden="false" customHeight="false" outlineLevel="0" collapsed="false">
      <c r="A39" s="20" t="str">
        <f aca="false">IF($B39="","",32)</f>
        <v/>
      </c>
      <c r="B39" s="21"/>
      <c r="C39" s="22"/>
      <c r="D39" s="23" t="str">
        <f aca="false">IF($B39="","",$C39/1000)</f>
        <v/>
      </c>
      <c r="E39" s="24" t="str">
        <f aca="false">IF($B39="","",$D39*$C$4)</f>
        <v/>
      </c>
      <c r="F39" s="25" t="str">
        <f aca="false">IF($B39="","",IF($E39&lt;=0,"NEITHER — zero",IF($E39&gt;=Settings!$B$19,Settings!$B$6,IF($E39&gt;Settings!$B$14,"NEITHER — over bench capacity",IF($E39&gt;=2*Settings!$B$12,Settings!$B$11,"NEITHER — under bench resolution")))))</f>
        <v/>
      </c>
      <c r="G39" s="24" t="str">
        <f aca="false">IF($B39="","",IF($F39=Settings!$B$6,MAX(2*Settings!$B$7,Settings!$B$4*$E39),IF($F39=Settings!$B$11,MAX(2*Settings!$B$12,Settings!$B$4*$E39),"")))</f>
        <v/>
      </c>
      <c r="H39" s="26" t="str">
        <f aca="false">IF($B39="","",IF(LEFT($F39,7)="NEITHER","Cannot be weighed — split it, premix it, or raise the batch size",IF($G39&gt;Settings!$B$4*$E39+0.0001,"Held to the scale's resolution, not "&amp;TEXT(Settings!$B$4,"0%"),"")))</f>
        <v/>
      </c>
    </row>
    <row r="40" customFormat="false" ht="15" hidden="false" customHeight="false" outlineLevel="0" collapsed="false">
      <c r="A40" s="20" t="str">
        <f aca="false">IF($B40="","",33)</f>
        <v/>
      </c>
      <c r="B40" s="21"/>
      <c r="C40" s="22"/>
      <c r="D40" s="23" t="str">
        <f aca="false">IF($B40="","",$C40/1000)</f>
        <v/>
      </c>
      <c r="E40" s="24" t="str">
        <f aca="false">IF($B40="","",$D40*$C$4)</f>
        <v/>
      </c>
      <c r="F40" s="25" t="str">
        <f aca="false">IF($B40="","",IF($E40&lt;=0,"NEITHER — zero",IF($E40&gt;=Settings!$B$19,Settings!$B$6,IF($E40&gt;Settings!$B$14,"NEITHER — over bench capacity",IF($E40&gt;=2*Settings!$B$12,Settings!$B$11,"NEITHER — under bench resolution")))))</f>
        <v/>
      </c>
      <c r="G40" s="24" t="str">
        <f aca="false">IF($B40="","",IF($F40=Settings!$B$6,MAX(2*Settings!$B$7,Settings!$B$4*$E40),IF($F40=Settings!$B$11,MAX(2*Settings!$B$12,Settings!$B$4*$E40),"")))</f>
        <v/>
      </c>
      <c r="H40" s="26" t="str">
        <f aca="false">IF($B40="","",IF(LEFT($F40,7)="NEITHER","Cannot be weighed — split it, premix it, or raise the batch size",IF($G40&gt;Settings!$B$4*$E40+0.0001,"Held to the scale's resolution, not "&amp;TEXT(Settings!$B$4,"0%"),"")))</f>
        <v/>
      </c>
    </row>
    <row r="41" customFormat="false" ht="15" hidden="false" customHeight="false" outlineLevel="0" collapsed="false">
      <c r="A41" s="20" t="str">
        <f aca="false">IF($B41="","",34)</f>
        <v/>
      </c>
      <c r="B41" s="21"/>
      <c r="C41" s="22"/>
      <c r="D41" s="23" t="str">
        <f aca="false">IF($B41="","",$C41/1000)</f>
        <v/>
      </c>
      <c r="E41" s="24" t="str">
        <f aca="false">IF($B41="","",$D41*$C$4)</f>
        <v/>
      </c>
      <c r="F41" s="25" t="str">
        <f aca="false">IF($B41="","",IF($E41&lt;=0,"NEITHER — zero",IF($E41&gt;=Settings!$B$19,Settings!$B$6,IF($E41&gt;Settings!$B$14,"NEITHER — over bench capacity",IF($E41&gt;=2*Settings!$B$12,Settings!$B$11,"NEITHER — under bench resolution")))))</f>
        <v/>
      </c>
      <c r="G41" s="24" t="str">
        <f aca="false">IF($B41="","",IF($F41=Settings!$B$6,MAX(2*Settings!$B$7,Settings!$B$4*$E41),IF($F41=Settings!$B$11,MAX(2*Settings!$B$12,Settings!$B$4*$E41),"")))</f>
        <v/>
      </c>
      <c r="H41" s="26" t="str">
        <f aca="false">IF($B41="","",IF(LEFT($F41,7)="NEITHER","Cannot be weighed — split it, premix it, or raise the batch size",IF($G41&gt;Settings!$B$4*$E41+0.0001,"Held to the scale's resolution, not "&amp;TEXT(Settings!$B$4,"0%"),"")))</f>
        <v/>
      </c>
    </row>
    <row r="42" customFormat="false" ht="15" hidden="false" customHeight="false" outlineLevel="0" collapsed="false">
      <c r="A42" s="20" t="str">
        <f aca="false">IF($B42="","",35)</f>
        <v/>
      </c>
      <c r="B42" s="21"/>
      <c r="C42" s="22"/>
      <c r="D42" s="23" t="str">
        <f aca="false">IF($B42="","",$C42/1000)</f>
        <v/>
      </c>
      <c r="E42" s="24" t="str">
        <f aca="false">IF($B42="","",$D42*$C$4)</f>
        <v/>
      </c>
      <c r="F42" s="25" t="str">
        <f aca="false">IF($B42="","",IF($E42&lt;=0,"NEITHER — zero",IF($E42&gt;=Settings!$B$19,Settings!$B$6,IF($E42&gt;Settings!$B$14,"NEITHER — over bench capacity",IF($E42&gt;=2*Settings!$B$12,Settings!$B$11,"NEITHER — under bench resolution")))))</f>
        <v/>
      </c>
      <c r="G42" s="24" t="str">
        <f aca="false">IF($B42="","",IF($F42=Settings!$B$6,MAX(2*Settings!$B$7,Settings!$B$4*$E42),IF($F42=Settings!$B$11,MAX(2*Settings!$B$12,Settings!$B$4*$E42),"")))</f>
        <v/>
      </c>
      <c r="H42" s="26" t="str">
        <f aca="false">IF($B42="","",IF(LEFT($F42,7)="NEITHER","Cannot be weighed — split it, premix it, or raise the batch size",IF($G42&gt;Settings!$B$4*$E42+0.0001,"Held to the scale's resolution, not "&amp;TEXT(Settings!$B$4,"0%"),"")))</f>
        <v/>
      </c>
    </row>
    <row r="43" customFormat="false" ht="15" hidden="false" customHeight="false" outlineLevel="0" collapsed="false">
      <c r="A43" s="20" t="str">
        <f aca="false">IF($B43="","",36)</f>
        <v/>
      </c>
      <c r="B43" s="21"/>
      <c r="C43" s="22"/>
      <c r="D43" s="23" t="str">
        <f aca="false">IF($B43="","",$C43/1000)</f>
        <v/>
      </c>
      <c r="E43" s="24" t="str">
        <f aca="false">IF($B43="","",$D43*$C$4)</f>
        <v/>
      </c>
      <c r="F43" s="25" t="str">
        <f aca="false">IF($B43="","",IF($E43&lt;=0,"NEITHER — zero",IF($E43&gt;=Settings!$B$19,Settings!$B$6,IF($E43&gt;Settings!$B$14,"NEITHER — over bench capacity",IF($E43&gt;=2*Settings!$B$12,Settings!$B$11,"NEITHER — under bench resolution")))))</f>
        <v/>
      </c>
      <c r="G43" s="24" t="str">
        <f aca="false">IF($B43="","",IF($F43=Settings!$B$6,MAX(2*Settings!$B$7,Settings!$B$4*$E43),IF($F43=Settings!$B$11,MAX(2*Settings!$B$12,Settings!$B$4*$E43),"")))</f>
        <v/>
      </c>
      <c r="H43" s="26" t="str">
        <f aca="false">IF($B43="","",IF(LEFT($F43,7)="NEITHER","Cannot be weighed — split it, premix it, or raise the batch size",IF($G43&gt;Settings!$B$4*$E43+0.0001,"Held to the scale's resolution, not "&amp;TEXT(Settings!$B$4,"0%"),"")))</f>
        <v/>
      </c>
    </row>
    <row r="44" customFormat="false" ht="15" hidden="false" customHeight="false" outlineLevel="0" collapsed="false">
      <c r="A44" s="20" t="str">
        <f aca="false">IF($B44="","",37)</f>
        <v/>
      </c>
      <c r="B44" s="21"/>
      <c r="C44" s="22"/>
      <c r="D44" s="23" t="str">
        <f aca="false">IF($B44="","",$C44/1000)</f>
        <v/>
      </c>
      <c r="E44" s="24" t="str">
        <f aca="false">IF($B44="","",$D44*$C$4)</f>
        <v/>
      </c>
      <c r="F44" s="25" t="str">
        <f aca="false">IF($B44="","",IF($E44&lt;=0,"NEITHER — zero",IF($E44&gt;=Settings!$B$19,Settings!$B$6,IF($E44&gt;Settings!$B$14,"NEITHER — over bench capacity",IF($E44&gt;=2*Settings!$B$12,Settings!$B$11,"NEITHER — under bench resolution")))))</f>
        <v/>
      </c>
      <c r="G44" s="24" t="str">
        <f aca="false">IF($B44="","",IF($F44=Settings!$B$6,MAX(2*Settings!$B$7,Settings!$B$4*$E44),IF($F44=Settings!$B$11,MAX(2*Settings!$B$12,Settings!$B$4*$E44),"")))</f>
        <v/>
      </c>
      <c r="H44" s="26" t="str">
        <f aca="false">IF($B44="","",IF(LEFT($F44,7)="NEITHER","Cannot be weighed — split it, premix it, or raise the batch size",IF($G44&gt;Settings!$B$4*$E44+0.0001,"Held to the scale's resolution, not "&amp;TEXT(Settings!$B$4,"0%"),"")))</f>
        <v/>
      </c>
    </row>
    <row r="45" customFormat="false" ht="15" hidden="false" customHeight="false" outlineLevel="0" collapsed="false">
      <c r="A45" s="20" t="str">
        <f aca="false">IF($B45="","",38)</f>
        <v/>
      </c>
      <c r="B45" s="21"/>
      <c r="C45" s="22"/>
      <c r="D45" s="23" t="str">
        <f aca="false">IF($B45="","",$C45/1000)</f>
        <v/>
      </c>
      <c r="E45" s="24" t="str">
        <f aca="false">IF($B45="","",$D45*$C$4)</f>
        <v/>
      </c>
      <c r="F45" s="25" t="str">
        <f aca="false">IF($B45="","",IF($E45&lt;=0,"NEITHER — zero",IF($E45&gt;=Settings!$B$19,Settings!$B$6,IF($E45&gt;Settings!$B$14,"NEITHER — over bench capacity",IF($E45&gt;=2*Settings!$B$12,Settings!$B$11,"NEITHER — under bench resolution")))))</f>
        <v/>
      </c>
      <c r="G45" s="24" t="str">
        <f aca="false">IF($B45="","",IF($F45=Settings!$B$6,MAX(2*Settings!$B$7,Settings!$B$4*$E45),IF($F45=Settings!$B$11,MAX(2*Settings!$B$12,Settings!$B$4*$E45),"")))</f>
        <v/>
      </c>
      <c r="H45" s="26" t="str">
        <f aca="false">IF($B45="","",IF(LEFT($F45,7)="NEITHER","Cannot be weighed — split it, premix it, or raise the batch size",IF($G45&gt;Settings!$B$4*$E45+0.0001,"Held to the scale's resolution, not "&amp;TEXT(Settings!$B$4,"0%"),"")))</f>
        <v/>
      </c>
    </row>
    <row r="46" customFormat="false" ht="15" hidden="false" customHeight="false" outlineLevel="0" collapsed="false">
      <c r="A46" s="20" t="str">
        <f aca="false">IF($B46="","",39)</f>
        <v/>
      </c>
      <c r="B46" s="21"/>
      <c r="C46" s="22"/>
      <c r="D46" s="23" t="str">
        <f aca="false">IF($B46="","",$C46/1000)</f>
        <v/>
      </c>
      <c r="E46" s="24" t="str">
        <f aca="false">IF($B46="","",$D46*$C$4)</f>
        <v/>
      </c>
      <c r="F46" s="25" t="str">
        <f aca="false">IF($B46="","",IF($E46&lt;=0,"NEITHER — zero",IF($E46&gt;=Settings!$B$19,Settings!$B$6,IF($E46&gt;Settings!$B$14,"NEITHER — over bench capacity",IF($E46&gt;=2*Settings!$B$12,Settings!$B$11,"NEITHER — under bench resolution")))))</f>
        <v/>
      </c>
      <c r="G46" s="24" t="str">
        <f aca="false">IF($B46="","",IF($F46=Settings!$B$6,MAX(2*Settings!$B$7,Settings!$B$4*$E46),IF($F46=Settings!$B$11,MAX(2*Settings!$B$12,Settings!$B$4*$E46),"")))</f>
        <v/>
      </c>
      <c r="H46" s="26" t="str">
        <f aca="false">IF($B46="","",IF(LEFT($F46,7)="NEITHER","Cannot be weighed — split it, premix it, or raise the batch size",IF($G46&gt;Settings!$B$4*$E46+0.0001,"Held to the scale's resolution, not "&amp;TEXT(Settings!$B$4,"0%"),"")))</f>
        <v/>
      </c>
    </row>
    <row r="47" customFormat="false" ht="15" hidden="false" customHeight="false" outlineLevel="0" collapsed="false">
      <c r="A47" s="20" t="str">
        <f aca="false">IF($B47="","",40)</f>
        <v/>
      </c>
      <c r="B47" s="21"/>
      <c r="C47" s="22"/>
      <c r="D47" s="23" t="str">
        <f aca="false">IF($B47="","",$C47/1000)</f>
        <v/>
      </c>
      <c r="E47" s="24" t="str">
        <f aca="false">IF($B47="","",$D47*$C$4)</f>
        <v/>
      </c>
      <c r="F47" s="25" t="str">
        <f aca="false">IF($B47="","",IF($E47&lt;=0,"NEITHER — zero",IF($E47&gt;=Settings!$B$19,Settings!$B$6,IF($E47&gt;Settings!$B$14,"NEITHER — over bench capacity",IF($E47&gt;=2*Settings!$B$12,Settings!$B$11,"NEITHER — under bench resolution")))))</f>
        <v/>
      </c>
      <c r="G47" s="24" t="str">
        <f aca="false">IF($B47="","",IF($F47=Settings!$B$6,MAX(2*Settings!$B$7,Settings!$B$4*$E47),IF($F47=Settings!$B$11,MAX(2*Settings!$B$12,Settings!$B$4*$E47),"")))</f>
        <v/>
      </c>
      <c r="H47" s="26" t="str">
        <f aca="false">IF($B47="","",IF(LEFT($F47,7)="NEITHER","Cannot be weighed — split it, premix it, or raise the batch size",IF($G47&gt;Settings!$B$4*$E47+0.0001,"Held to the scale's resolution, not "&amp;TEXT(Settings!$B$4,"0%"),"")))</f>
        <v/>
      </c>
    </row>
    <row r="49" customFormat="false" ht="15" hidden="false" customHeight="false" outlineLevel="0" collapsed="false">
      <c r="B49" s="27" t="s">
        <v>77</v>
      </c>
      <c r="C49" s="28" t="n">
        <f aca="false">SUM(C8:C47)</f>
        <v>7.5</v>
      </c>
      <c r="D49" s="29" t="n">
        <f aca="false">SUM(D8:D47)</f>
        <v>0.0075</v>
      </c>
      <c r="E49" s="28" t="n">
        <f aca="false">SUM(E8:E47)</f>
        <v>24</v>
      </c>
    </row>
    <row r="50" customFormat="false" ht="15" hidden="false" customHeight="false" outlineLevel="0" collapsed="false">
      <c r="B50" s="5" t="s">
        <v>78</v>
      </c>
      <c r="E50" s="30" t="n">
        <f aca="false">$C$4+E49</f>
        <v>3224</v>
      </c>
    </row>
    <row r="52" customFormat="false" ht="15" hidden="false" customHeight="false" outlineLevel="0" collapsed="false">
      <c r="B52" s="15" t="str">
        <f aca="false">IF(COUNTIF($F$8:$F$47,"NEITHER*")=0,"All ingredients can be weighed.","WARNING: "&amp;COUNTIF($F$8:$F$47,"NEITHER*")&amp;" ingredient(s) cannot be weighed on either scale — see the Note column.")</f>
        <v>All ingredients can be weighed.</v>
      </c>
      <c r="C52" s="15"/>
      <c r="D52" s="15"/>
      <c r="E52" s="15"/>
      <c r="F52" s="15"/>
      <c r="G52" s="15"/>
      <c r="H52" s="15"/>
    </row>
  </sheetData>
  <mergeCells count="11">
    <mergeCell ref="A1:H1"/>
    <mergeCell ref="A2:H2"/>
    <mergeCell ref="A4:B4"/>
    <mergeCell ref="D4:H4"/>
    <mergeCell ref="A5:B5"/>
    <mergeCell ref="D5:E5"/>
    <mergeCell ref="F5:H5"/>
    <mergeCell ref="A6:B6"/>
    <mergeCell ref="D6:E6"/>
    <mergeCell ref="F6:H6"/>
    <mergeCell ref="B52:H52"/>
  </mergeCells>
  <conditionalFormatting sqref="B52:H52">
    <cfRule type="expression" priority="2" aboveAverage="0" equalAverage="0" bottom="0" percent="0" rank="0" text="" dxfId="0">
      <formula>LEFT($B$52,5)="ERROR"</formula>
    </cfRule>
  </conditionalFormatting>
  <conditionalFormatting sqref="A8:H47">
    <cfRule type="expression" priority="3" aboveAverage="0" equalAverage="0" bottom="0" percent="0" rank="0" text="" dxfId="1">
      <formula>LEFT($F8,7)="NEITHER"</formula>
    </cfRule>
    <cfRule type="expression" priority="4" aboveAverage="0" equalAverage="0" bottom="0" percent="0" rank="0" text="" dxfId="2">
      <formula>AND($B8&lt;&gt;"",$H8&lt;&gt;"")</formula>
    </cfRule>
  </conditionalFormatting>
  <dataValidations count="1">
    <dataValidation allowBlank="true" errorStyle="stop" operator="between" showDropDown="false" showErrorMessage="false" showInputMessage="false" sqref="B8:B47" type="list">
      <formula1>IngredientList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84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45</v>
      </c>
      <c r="B4" s="16"/>
      <c r="C4" s="17" t="n">
        <v>3200</v>
      </c>
      <c r="D4" s="2" t="s">
        <v>46</v>
      </c>
      <c r="E4" s="2"/>
      <c r="F4" s="2"/>
      <c r="G4" s="2"/>
      <c r="H4" s="2"/>
    </row>
    <row r="5" customFormat="false" ht="15" hidden="false" customHeight="false" outlineLevel="0" collapsed="false">
      <c r="A5" s="16" t="s">
        <v>47</v>
      </c>
      <c r="B5" s="16"/>
      <c r="C5" s="8" t="s">
        <v>85</v>
      </c>
      <c r="D5" s="16" t="s">
        <v>49</v>
      </c>
      <c r="E5" s="16"/>
      <c r="F5" s="18" t="s">
        <v>50</v>
      </c>
      <c r="G5" s="18"/>
      <c r="H5" s="18"/>
    </row>
    <row r="6" customFormat="false" ht="15" hidden="false" customHeight="false" outlineLevel="0" collapsed="false">
      <c r="A6" s="16" t="s">
        <v>51</v>
      </c>
      <c r="B6" s="16"/>
      <c r="C6" s="8" t="s">
        <v>81</v>
      </c>
      <c r="D6" s="16" t="s">
        <v>52</v>
      </c>
      <c r="E6" s="16"/>
      <c r="F6" s="18" t="s">
        <v>82</v>
      </c>
      <c r="G6" s="18"/>
      <c r="H6" s="18"/>
    </row>
    <row r="7" customFormat="false" ht="23.85" hidden="false" customHeight="false" outlineLevel="0" collapsed="false">
      <c r="A7" s="19" t="s">
        <v>53</v>
      </c>
      <c r="B7" s="19" t="s">
        <v>54</v>
      </c>
      <c r="C7" s="19" t="s">
        <v>55</v>
      </c>
      <c r="D7" s="19" t="s">
        <v>56</v>
      </c>
      <c r="E7" s="19" t="s">
        <v>57</v>
      </c>
      <c r="F7" s="19" t="s">
        <v>58</v>
      </c>
      <c r="G7" s="19" t="s">
        <v>59</v>
      </c>
      <c r="H7" s="19" t="s">
        <v>60</v>
      </c>
    </row>
    <row r="8" customFormat="false" ht="15" hidden="false" customHeight="false" outlineLevel="0" collapsed="false">
      <c r="A8" s="20" t="n">
        <f aca="false">IF($B8="","",1)</f>
        <v>1</v>
      </c>
      <c r="B8" s="31" t="s">
        <v>83</v>
      </c>
      <c r="C8" s="32" t="n">
        <v>7.5</v>
      </c>
      <c r="D8" s="23" t="n">
        <f aca="false">IF($B8="","",$C8/1000)</f>
        <v>0.0075</v>
      </c>
      <c r="E8" s="24" t="n">
        <f aca="false">IF($B8="","",$D8*$C$4)</f>
        <v>24</v>
      </c>
      <c r="F8" s="25" t="str">
        <f aca="false">IF($B8="","",IF($E8&lt;=0,"NEITHER — zero",IF($E8&gt;=Settings!$B$19,Settings!$B$6,IF($E8&gt;Settings!$B$14,"NEITHER — over bench capacity",IF($E8&gt;=2*Settings!$B$12,Settings!$B$11,"NEITHER — under bench resolution")))))</f>
        <v>Bench scale</v>
      </c>
      <c r="G8" s="24" t="n">
        <f aca="false">IF($B8="","",IF($F8=Settings!$B$6,MAX(2*Settings!$B$7,Settings!$B$4*$E8),IF($F8=Settings!$B$11,MAX(2*Settings!$B$12,Settings!$B$4*$E8),"")))</f>
        <v>0.48</v>
      </c>
      <c r="H8" s="33" t="str">
        <f aca="false">IF($B8="","",IF(LEFT($F8,7)="NEITHER","Cannot be weighed — split it, premix it, or raise the batch size",IF($G8&gt;Settings!$B$4*$E8+0.0001,"Held to the scale's resolution, not "&amp;TEXT(Settings!$B$4,"0%"),"")))</f>
        <v/>
      </c>
    </row>
    <row r="9" customFormat="false" ht="15" hidden="false" customHeight="false" outlineLevel="0" collapsed="false">
      <c r="A9" s="20" t="str">
        <f aca="false">IF($B9="","",2)</f>
        <v/>
      </c>
      <c r="B9" s="21"/>
      <c r="C9" s="22"/>
      <c r="D9" s="23" t="str">
        <f aca="false">IF($B9="","",$C9/1000)</f>
        <v/>
      </c>
      <c r="E9" s="24" t="str">
        <f aca="false">IF($B9="","",$D9*$C$4)</f>
        <v/>
      </c>
      <c r="F9" s="25" t="str">
        <f aca="false">IF($B9="","",IF($E9&lt;=0,"NEITHER — zero",IF($E9&gt;=Settings!$B$19,Settings!$B$6,IF($E9&gt;Settings!$B$14,"NEITHER — over bench capacity",IF($E9&gt;=2*Settings!$B$12,Settings!$B$11,"NEITHER — under bench resolution")))))</f>
        <v/>
      </c>
      <c r="G9" s="24" t="str">
        <f aca="false">IF($B9="","",IF($F9=Settings!$B$6,MAX(2*Settings!$B$7,Settings!$B$4*$E9),IF($F9=Settings!$B$11,MAX(2*Settings!$B$12,Settings!$B$4*$E9),"")))</f>
        <v/>
      </c>
      <c r="H9" s="26" t="str">
        <f aca="false">IF($B9="","",IF(LEFT($F9,7)="NEITHER","Cannot be weighed — split it, premix it, or raise the batch size",IF($G9&gt;Settings!$B$4*$E9+0.0001,"Held to the scale's resolution, not "&amp;TEXT(Settings!$B$4,"0%"),"")))</f>
        <v/>
      </c>
    </row>
    <row r="10" customFormat="false" ht="15" hidden="false" customHeight="false" outlineLevel="0" collapsed="false">
      <c r="A10" s="20" t="str">
        <f aca="false">IF($B10="","",3)</f>
        <v/>
      </c>
      <c r="B10" s="21"/>
      <c r="C10" s="22"/>
      <c r="D10" s="23" t="str">
        <f aca="false">IF($B10="","",$C10/1000)</f>
        <v/>
      </c>
      <c r="E10" s="24" t="str">
        <f aca="false">IF($B10="","",$D10*$C$4)</f>
        <v/>
      </c>
      <c r="F10" s="25" t="str">
        <f aca="false">IF($B10="","",IF($E10&lt;=0,"NEITHER — zero",IF($E10&gt;=Settings!$B$19,Settings!$B$6,IF($E10&gt;Settings!$B$14,"NEITHER — over bench capacity",IF($E10&gt;=2*Settings!$B$12,Settings!$B$11,"NEITHER — under bench resolution")))))</f>
        <v/>
      </c>
      <c r="G10" s="24" t="str">
        <f aca="false">IF($B10="","",IF($F10=Settings!$B$6,MAX(2*Settings!$B$7,Settings!$B$4*$E10),IF($F10=Settings!$B$11,MAX(2*Settings!$B$12,Settings!$B$4*$E10),"")))</f>
        <v/>
      </c>
      <c r="H10" s="26" t="str">
        <f aca="false">IF($B10="","",IF(LEFT($F10,7)="NEITHER","Cannot be weighed — split it, premix it, or raise the batch size",IF($G10&gt;Settings!$B$4*$E10+0.0001,"Held to the scale's resolution, not "&amp;TEXT(Settings!$B$4,"0%"),"")))</f>
        <v/>
      </c>
    </row>
    <row r="11" customFormat="false" ht="15" hidden="false" customHeight="false" outlineLevel="0" collapsed="false">
      <c r="A11" s="20" t="str">
        <f aca="false">IF($B11="","",4)</f>
        <v/>
      </c>
      <c r="B11" s="21"/>
      <c r="C11" s="22"/>
      <c r="D11" s="23" t="str">
        <f aca="false">IF($B11="","",$C11/1000)</f>
        <v/>
      </c>
      <c r="E11" s="24" t="str">
        <f aca="false">IF($B11="","",$D11*$C$4)</f>
        <v/>
      </c>
      <c r="F11" s="25" t="str">
        <f aca="false">IF($B11="","",IF($E11&lt;=0,"NEITHER — zero",IF($E11&gt;=Settings!$B$19,Settings!$B$6,IF($E11&gt;Settings!$B$14,"NEITHER — over bench capacity",IF($E11&gt;=2*Settings!$B$12,Settings!$B$11,"NEITHER — under bench resolution")))))</f>
        <v/>
      </c>
      <c r="G11" s="24" t="str">
        <f aca="false">IF($B11="","",IF($F11=Settings!$B$6,MAX(2*Settings!$B$7,Settings!$B$4*$E11),IF($F11=Settings!$B$11,MAX(2*Settings!$B$12,Settings!$B$4*$E11),"")))</f>
        <v/>
      </c>
      <c r="H11" s="26" t="str">
        <f aca="false">IF($B11="","",IF(LEFT($F11,7)="NEITHER","Cannot be weighed — split it, premix it, or raise the batch size",IF($G11&gt;Settings!$B$4*$E11+0.0001,"Held to the scale's resolution, not "&amp;TEXT(Settings!$B$4,"0%"),"")))</f>
        <v/>
      </c>
    </row>
    <row r="12" customFormat="false" ht="15" hidden="false" customHeight="false" outlineLevel="0" collapsed="false">
      <c r="A12" s="20" t="str">
        <f aca="false">IF($B12="","",5)</f>
        <v/>
      </c>
      <c r="B12" s="21"/>
      <c r="C12" s="22"/>
      <c r="D12" s="23" t="str">
        <f aca="false">IF($B12="","",$C12/1000)</f>
        <v/>
      </c>
      <c r="E12" s="24" t="str">
        <f aca="false">IF($B12="","",$D12*$C$4)</f>
        <v/>
      </c>
      <c r="F12" s="25" t="str">
        <f aca="false">IF($B12="","",IF($E12&lt;=0,"NEITHER — zero",IF($E12&gt;=Settings!$B$19,Settings!$B$6,IF($E12&gt;Settings!$B$14,"NEITHER — over bench capacity",IF($E12&gt;=2*Settings!$B$12,Settings!$B$11,"NEITHER — under bench resolution")))))</f>
        <v/>
      </c>
      <c r="G12" s="24" t="str">
        <f aca="false">IF($B12="","",IF($F12=Settings!$B$6,MAX(2*Settings!$B$7,Settings!$B$4*$E12),IF($F12=Settings!$B$11,MAX(2*Settings!$B$12,Settings!$B$4*$E12),"")))</f>
        <v/>
      </c>
      <c r="H12" s="26" t="str">
        <f aca="false">IF($B12="","",IF(LEFT($F12,7)="NEITHER","Cannot be weighed — split it, premix it, or raise the batch size",IF($G12&gt;Settings!$B$4*$E12+0.0001,"Held to the scale's resolution, not "&amp;TEXT(Settings!$B$4,"0%"),"")))</f>
        <v/>
      </c>
    </row>
    <row r="13" customFormat="false" ht="15" hidden="false" customHeight="false" outlineLevel="0" collapsed="false">
      <c r="A13" s="20" t="str">
        <f aca="false">IF($B13="","",6)</f>
        <v/>
      </c>
      <c r="B13" s="21"/>
      <c r="C13" s="22"/>
      <c r="D13" s="23" t="str">
        <f aca="false">IF($B13="","",$C13/1000)</f>
        <v/>
      </c>
      <c r="E13" s="24" t="str">
        <f aca="false">IF($B13="","",$D13*$C$4)</f>
        <v/>
      </c>
      <c r="F13" s="25" t="str">
        <f aca="false">IF($B13="","",IF($E13&lt;=0,"NEITHER — zero",IF($E13&gt;=Settings!$B$19,Settings!$B$6,IF($E13&gt;Settings!$B$14,"NEITHER — over bench capacity",IF($E13&gt;=2*Settings!$B$12,Settings!$B$11,"NEITHER — under bench resolution")))))</f>
        <v/>
      </c>
      <c r="G13" s="24" t="str">
        <f aca="false">IF($B13="","",IF($F13=Settings!$B$6,MAX(2*Settings!$B$7,Settings!$B$4*$E13),IF($F13=Settings!$B$11,MAX(2*Settings!$B$12,Settings!$B$4*$E13),"")))</f>
        <v/>
      </c>
      <c r="H13" s="26" t="str">
        <f aca="false">IF($B13="","",IF(LEFT($F13,7)="NEITHER","Cannot be weighed — split it, premix it, or raise the batch size",IF($G13&gt;Settings!$B$4*$E13+0.0001,"Held to the scale's resolution, not "&amp;TEXT(Settings!$B$4,"0%"),"")))</f>
        <v/>
      </c>
    </row>
    <row r="14" customFormat="false" ht="15" hidden="false" customHeight="false" outlineLevel="0" collapsed="false">
      <c r="A14" s="20" t="str">
        <f aca="false">IF($B14="","",7)</f>
        <v/>
      </c>
      <c r="B14" s="21"/>
      <c r="C14" s="22"/>
      <c r="D14" s="23" t="str">
        <f aca="false">IF($B14="","",$C14/1000)</f>
        <v/>
      </c>
      <c r="E14" s="24" t="str">
        <f aca="false">IF($B14="","",$D14*$C$4)</f>
        <v/>
      </c>
      <c r="F14" s="25" t="str">
        <f aca="false">IF($B14="","",IF($E14&lt;=0,"NEITHER — zero",IF($E14&gt;=Settings!$B$19,Settings!$B$6,IF($E14&gt;Settings!$B$14,"NEITHER — over bench capacity",IF($E14&gt;=2*Settings!$B$12,Settings!$B$11,"NEITHER — under bench resolution")))))</f>
        <v/>
      </c>
      <c r="G14" s="24" t="str">
        <f aca="false">IF($B14="","",IF($F14=Settings!$B$6,MAX(2*Settings!$B$7,Settings!$B$4*$E14),IF($F14=Settings!$B$11,MAX(2*Settings!$B$12,Settings!$B$4*$E14),"")))</f>
        <v/>
      </c>
      <c r="H14" s="26" t="str">
        <f aca="false">IF($B14="","",IF(LEFT($F14,7)="NEITHER","Cannot be weighed — split it, premix it, or raise the batch size",IF($G14&gt;Settings!$B$4*$E14+0.0001,"Held to the scale's resolution, not "&amp;TEXT(Settings!$B$4,"0%"),"")))</f>
        <v/>
      </c>
    </row>
    <row r="15" customFormat="false" ht="15" hidden="false" customHeight="false" outlineLevel="0" collapsed="false">
      <c r="A15" s="20" t="str">
        <f aca="false">IF($B15="","",8)</f>
        <v/>
      </c>
      <c r="B15" s="21"/>
      <c r="C15" s="22"/>
      <c r="D15" s="23" t="str">
        <f aca="false">IF($B15="","",$C15/1000)</f>
        <v/>
      </c>
      <c r="E15" s="24" t="str">
        <f aca="false">IF($B15="","",$D15*$C$4)</f>
        <v/>
      </c>
      <c r="F15" s="25" t="str">
        <f aca="false">IF($B15="","",IF($E15&lt;=0,"NEITHER — zero",IF($E15&gt;=Settings!$B$19,Settings!$B$6,IF($E15&gt;Settings!$B$14,"NEITHER — over bench capacity",IF($E15&gt;=2*Settings!$B$12,Settings!$B$11,"NEITHER — under bench resolution")))))</f>
        <v/>
      </c>
      <c r="G15" s="24" t="str">
        <f aca="false">IF($B15="","",IF($F15=Settings!$B$6,MAX(2*Settings!$B$7,Settings!$B$4*$E15),IF($F15=Settings!$B$11,MAX(2*Settings!$B$12,Settings!$B$4*$E15),"")))</f>
        <v/>
      </c>
      <c r="H15" s="26" t="str">
        <f aca="false">IF($B15="","",IF(LEFT($F15,7)="NEITHER","Cannot be weighed — split it, premix it, or raise the batch size",IF($G15&gt;Settings!$B$4*$E15+0.0001,"Held to the scale's resolution, not "&amp;TEXT(Settings!$B$4,"0%"),"")))</f>
        <v/>
      </c>
    </row>
    <row r="16" customFormat="false" ht="15" hidden="false" customHeight="false" outlineLevel="0" collapsed="false">
      <c r="A16" s="20" t="str">
        <f aca="false">IF($B16="","",9)</f>
        <v/>
      </c>
      <c r="B16" s="21"/>
      <c r="C16" s="22"/>
      <c r="D16" s="23" t="str">
        <f aca="false">IF($B16="","",$C16/1000)</f>
        <v/>
      </c>
      <c r="E16" s="24" t="str">
        <f aca="false">IF($B16="","",$D16*$C$4)</f>
        <v/>
      </c>
      <c r="F16" s="25" t="str">
        <f aca="false">IF($B16="","",IF($E16&lt;=0,"NEITHER — zero",IF($E16&gt;=Settings!$B$19,Settings!$B$6,IF($E16&gt;Settings!$B$14,"NEITHER — over bench capacity",IF($E16&gt;=2*Settings!$B$12,Settings!$B$11,"NEITHER — under bench resolution")))))</f>
        <v/>
      </c>
      <c r="G16" s="24" t="str">
        <f aca="false">IF($B16="","",IF($F16=Settings!$B$6,MAX(2*Settings!$B$7,Settings!$B$4*$E16),IF($F16=Settings!$B$11,MAX(2*Settings!$B$12,Settings!$B$4*$E16),"")))</f>
        <v/>
      </c>
      <c r="H16" s="26" t="str">
        <f aca="false">IF($B16="","",IF(LEFT($F16,7)="NEITHER","Cannot be weighed — split it, premix it, or raise the batch size",IF($G16&gt;Settings!$B$4*$E16+0.0001,"Held to the scale's resolution, not "&amp;TEXT(Settings!$B$4,"0%"),"")))</f>
        <v/>
      </c>
    </row>
    <row r="17" customFormat="false" ht="15" hidden="false" customHeight="false" outlineLevel="0" collapsed="false">
      <c r="A17" s="20" t="str">
        <f aca="false">IF($B17="","",10)</f>
        <v/>
      </c>
      <c r="B17" s="21"/>
      <c r="C17" s="22"/>
      <c r="D17" s="23" t="str">
        <f aca="false">IF($B17="","",$C17/1000)</f>
        <v/>
      </c>
      <c r="E17" s="24" t="str">
        <f aca="false">IF($B17="","",$D17*$C$4)</f>
        <v/>
      </c>
      <c r="F17" s="25" t="str">
        <f aca="false">IF($B17="","",IF($E17&lt;=0,"NEITHER — zero",IF($E17&gt;=Settings!$B$19,Settings!$B$6,IF($E17&gt;Settings!$B$14,"NEITHER — over bench capacity",IF($E17&gt;=2*Settings!$B$12,Settings!$B$11,"NEITHER — under bench resolution")))))</f>
        <v/>
      </c>
      <c r="G17" s="24" t="str">
        <f aca="false">IF($B17="","",IF($F17=Settings!$B$6,MAX(2*Settings!$B$7,Settings!$B$4*$E17),IF($F17=Settings!$B$11,MAX(2*Settings!$B$12,Settings!$B$4*$E17),"")))</f>
        <v/>
      </c>
      <c r="H17" s="26" t="str">
        <f aca="false">IF($B17="","",IF(LEFT($F17,7)="NEITHER","Cannot be weighed — split it, premix it, or raise the batch size",IF($G17&gt;Settings!$B$4*$E17+0.0001,"Held to the scale's resolution, not "&amp;TEXT(Settings!$B$4,"0%"),"")))</f>
        <v/>
      </c>
    </row>
    <row r="18" customFormat="false" ht="15" hidden="false" customHeight="false" outlineLevel="0" collapsed="false">
      <c r="A18" s="20" t="str">
        <f aca="false">IF($B18="","",11)</f>
        <v/>
      </c>
      <c r="B18" s="21"/>
      <c r="C18" s="22"/>
      <c r="D18" s="23" t="str">
        <f aca="false">IF($B18="","",$C18/1000)</f>
        <v/>
      </c>
      <c r="E18" s="24" t="str">
        <f aca="false">IF($B18="","",$D18*$C$4)</f>
        <v/>
      </c>
      <c r="F18" s="25" t="str">
        <f aca="false">IF($B18="","",IF($E18&lt;=0,"NEITHER — zero",IF($E18&gt;=Settings!$B$19,Settings!$B$6,IF($E18&gt;Settings!$B$14,"NEITHER — over bench capacity",IF($E18&gt;=2*Settings!$B$12,Settings!$B$11,"NEITHER — under bench resolution")))))</f>
        <v/>
      </c>
      <c r="G18" s="24" t="str">
        <f aca="false">IF($B18="","",IF($F18=Settings!$B$6,MAX(2*Settings!$B$7,Settings!$B$4*$E18),IF($F18=Settings!$B$11,MAX(2*Settings!$B$12,Settings!$B$4*$E18),"")))</f>
        <v/>
      </c>
      <c r="H18" s="26" t="str">
        <f aca="false">IF($B18="","",IF(LEFT($F18,7)="NEITHER","Cannot be weighed — split it, premix it, or raise the batch size",IF($G18&gt;Settings!$B$4*$E18+0.0001,"Held to the scale's resolution, not "&amp;TEXT(Settings!$B$4,"0%"),"")))</f>
        <v/>
      </c>
    </row>
    <row r="19" customFormat="false" ht="15" hidden="false" customHeight="false" outlineLevel="0" collapsed="false">
      <c r="A19" s="20" t="str">
        <f aca="false">IF($B19="","",12)</f>
        <v/>
      </c>
      <c r="B19" s="21"/>
      <c r="C19" s="22"/>
      <c r="D19" s="23" t="str">
        <f aca="false">IF($B19="","",$C19/1000)</f>
        <v/>
      </c>
      <c r="E19" s="24" t="str">
        <f aca="false">IF($B19="","",$D19*$C$4)</f>
        <v/>
      </c>
      <c r="F19" s="25" t="str">
        <f aca="false">IF($B19="","",IF($E19&lt;=0,"NEITHER — zero",IF($E19&gt;=Settings!$B$19,Settings!$B$6,IF($E19&gt;Settings!$B$14,"NEITHER — over bench capacity",IF($E19&gt;=2*Settings!$B$12,Settings!$B$11,"NEITHER — under bench resolution")))))</f>
        <v/>
      </c>
      <c r="G19" s="24" t="str">
        <f aca="false">IF($B19="","",IF($F19=Settings!$B$6,MAX(2*Settings!$B$7,Settings!$B$4*$E19),IF($F19=Settings!$B$11,MAX(2*Settings!$B$12,Settings!$B$4*$E19),"")))</f>
        <v/>
      </c>
      <c r="H19" s="26" t="str">
        <f aca="false">IF($B19="","",IF(LEFT($F19,7)="NEITHER","Cannot be weighed — split it, premix it, or raise the batch size",IF($G19&gt;Settings!$B$4*$E19+0.0001,"Held to the scale's resolution, not "&amp;TEXT(Settings!$B$4,"0%"),"")))</f>
        <v/>
      </c>
    </row>
    <row r="20" customFormat="false" ht="15" hidden="false" customHeight="false" outlineLevel="0" collapsed="false">
      <c r="A20" s="20" t="str">
        <f aca="false">IF($B20="","",13)</f>
        <v/>
      </c>
      <c r="B20" s="21"/>
      <c r="C20" s="22"/>
      <c r="D20" s="23" t="str">
        <f aca="false">IF($B20="","",$C20/1000)</f>
        <v/>
      </c>
      <c r="E20" s="24" t="str">
        <f aca="false">IF($B20="","",$D20*$C$4)</f>
        <v/>
      </c>
      <c r="F20" s="25" t="str">
        <f aca="false">IF($B20="","",IF($E20&lt;=0,"NEITHER — zero",IF($E20&gt;=Settings!$B$19,Settings!$B$6,IF($E20&gt;Settings!$B$14,"NEITHER — over bench capacity",IF($E20&gt;=2*Settings!$B$12,Settings!$B$11,"NEITHER — under bench resolution")))))</f>
        <v/>
      </c>
      <c r="G20" s="24" t="str">
        <f aca="false">IF($B20="","",IF($F20=Settings!$B$6,MAX(2*Settings!$B$7,Settings!$B$4*$E20),IF($F20=Settings!$B$11,MAX(2*Settings!$B$12,Settings!$B$4*$E20),"")))</f>
        <v/>
      </c>
      <c r="H20" s="26" t="str">
        <f aca="false">IF($B20="","",IF(LEFT($F20,7)="NEITHER","Cannot be weighed — split it, premix it, or raise the batch size",IF($G20&gt;Settings!$B$4*$E20+0.0001,"Held to the scale's resolution, not "&amp;TEXT(Settings!$B$4,"0%"),"")))</f>
        <v/>
      </c>
    </row>
    <row r="21" customFormat="false" ht="15" hidden="false" customHeight="false" outlineLevel="0" collapsed="false">
      <c r="A21" s="20" t="str">
        <f aca="false">IF($B21="","",14)</f>
        <v/>
      </c>
      <c r="B21" s="21"/>
      <c r="C21" s="22"/>
      <c r="D21" s="23" t="str">
        <f aca="false">IF($B21="","",$C21/1000)</f>
        <v/>
      </c>
      <c r="E21" s="24" t="str">
        <f aca="false">IF($B21="","",$D21*$C$4)</f>
        <v/>
      </c>
      <c r="F21" s="25" t="str">
        <f aca="false">IF($B21="","",IF($E21&lt;=0,"NEITHER — zero",IF($E21&gt;=Settings!$B$19,Settings!$B$6,IF($E21&gt;Settings!$B$14,"NEITHER — over bench capacity",IF($E21&gt;=2*Settings!$B$12,Settings!$B$11,"NEITHER — under bench resolution")))))</f>
        <v/>
      </c>
      <c r="G21" s="24" t="str">
        <f aca="false">IF($B21="","",IF($F21=Settings!$B$6,MAX(2*Settings!$B$7,Settings!$B$4*$E21),IF($F21=Settings!$B$11,MAX(2*Settings!$B$12,Settings!$B$4*$E21),"")))</f>
        <v/>
      </c>
      <c r="H21" s="26" t="str">
        <f aca="false">IF($B21="","",IF(LEFT($F21,7)="NEITHER","Cannot be weighed — split it, premix it, or raise the batch size",IF($G21&gt;Settings!$B$4*$E21+0.0001,"Held to the scale's resolution, not "&amp;TEXT(Settings!$B$4,"0%"),"")))</f>
        <v/>
      </c>
    </row>
    <row r="22" customFormat="false" ht="15" hidden="false" customHeight="false" outlineLevel="0" collapsed="false">
      <c r="A22" s="20" t="str">
        <f aca="false">IF($B22="","",15)</f>
        <v/>
      </c>
      <c r="B22" s="21"/>
      <c r="C22" s="22"/>
      <c r="D22" s="23" t="str">
        <f aca="false">IF($B22="","",$C22/1000)</f>
        <v/>
      </c>
      <c r="E22" s="24" t="str">
        <f aca="false">IF($B22="","",$D22*$C$4)</f>
        <v/>
      </c>
      <c r="F22" s="25" t="str">
        <f aca="false">IF($B22="","",IF($E22&lt;=0,"NEITHER — zero",IF($E22&gt;=Settings!$B$19,Settings!$B$6,IF($E22&gt;Settings!$B$14,"NEITHER — over bench capacity",IF($E22&gt;=2*Settings!$B$12,Settings!$B$11,"NEITHER — under bench resolution")))))</f>
        <v/>
      </c>
      <c r="G22" s="24" t="str">
        <f aca="false">IF($B22="","",IF($F22=Settings!$B$6,MAX(2*Settings!$B$7,Settings!$B$4*$E22),IF($F22=Settings!$B$11,MAX(2*Settings!$B$12,Settings!$B$4*$E22),"")))</f>
        <v/>
      </c>
      <c r="H22" s="26" t="str">
        <f aca="false">IF($B22="","",IF(LEFT($F22,7)="NEITHER","Cannot be weighed — split it, premix it, or raise the batch size",IF($G22&gt;Settings!$B$4*$E22+0.0001,"Held to the scale's resolution, not "&amp;TEXT(Settings!$B$4,"0%"),"")))</f>
        <v/>
      </c>
    </row>
    <row r="23" customFormat="false" ht="15" hidden="false" customHeight="false" outlineLevel="0" collapsed="false">
      <c r="A23" s="20" t="str">
        <f aca="false">IF($B23="","",16)</f>
        <v/>
      </c>
      <c r="B23" s="21"/>
      <c r="C23" s="22"/>
      <c r="D23" s="23" t="str">
        <f aca="false">IF($B23="","",$C23/1000)</f>
        <v/>
      </c>
      <c r="E23" s="24" t="str">
        <f aca="false">IF($B23="","",$D23*$C$4)</f>
        <v/>
      </c>
      <c r="F23" s="25" t="str">
        <f aca="false">IF($B23="","",IF($E23&lt;=0,"NEITHER — zero",IF($E23&gt;=Settings!$B$19,Settings!$B$6,IF($E23&gt;Settings!$B$14,"NEITHER — over bench capacity",IF($E23&gt;=2*Settings!$B$12,Settings!$B$11,"NEITHER — under bench resolution")))))</f>
        <v/>
      </c>
      <c r="G23" s="24" t="str">
        <f aca="false">IF($B23="","",IF($F23=Settings!$B$6,MAX(2*Settings!$B$7,Settings!$B$4*$E23),IF($F23=Settings!$B$11,MAX(2*Settings!$B$12,Settings!$B$4*$E23),"")))</f>
        <v/>
      </c>
      <c r="H23" s="26" t="str">
        <f aca="false">IF($B23="","",IF(LEFT($F23,7)="NEITHER","Cannot be weighed — split it, premix it, or raise the batch size",IF($G23&gt;Settings!$B$4*$E23+0.0001,"Held to the scale's resolution, not "&amp;TEXT(Settings!$B$4,"0%"),"")))</f>
        <v/>
      </c>
    </row>
    <row r="24" customFormat="false" ht="15" hidden="false" customHeight="false" outlineLevel="0" collapsed="false">
      <c r="A24" s="20" t="str">
        <f aca="false">IF($B24="","",17)</f>
        <v/>
      </c>
      <c r="B24" s="21"/>
      <c r="C24" s="22"/>
      <c r="D24" s="23" t="str">
        <f aca="false">IF($B24="","",$C24/1000)</f>
        <v/>
      </c>
      <c r="E24" s="24" t="str">
        <f aca="false">IF($B24="","",$D24*$C$4)</f>
        <v/>
      </c>
      <c r="F24" s="25" t="str">
        <f aca="false">IF($B24="","",IF($E24&lt;=0,"NEITHER — zero",IF($E24&gt;=Settings!$B$19,Settings!$B$6,IF($E24&gt;Settings!$B$14,"NEITHER — over bench capacity",IF($E24&gt;=2*Settings!$B$12,Settings!$B$11,"NEITHER — under bench resolution")))))</f>
        <v/>
      </c>
      <c r="G24" s="24" t="str">
        <f aca="false">IF($B24="","",IF($F24=Settings!$B$6,MAX(2*Settings!$B$7,Settings!$B$4*$E24),IF($F24=Settings!$B$11,MAX(2*Settings!$B$12,Settings!$B$4*$E24),"")))</f>
        <v/>
      </c>
      <c r="H24" s="26" t="str">
        <f aca="false">IF($B24="","",IF(LEFT($F24,7)="NEITHER","Cannot be weighed — split it, premix it, or raise the batch size",IF($G24&gt;Settings!$B$4*$E24+0.0001,"Held to the scale's resolution, not "&amp;TEXT(Settings!$B$4,"0%"),"")))</f>
        <v/>
      </c>
    </row>
    <row r="25" customFormat="false" ht="15" hidden="false" customHeight="false" outlineLevel="0" collapsed="false">
      <c r="A25" s="20" t="str">
        <f aca="false">IF($B25="","",18)</f>
        <v/>
      </c>
      <c r="B25" s="21"/>
      <c r="C25" s="22"/>
      <c r="D25" s="23" t="str">
        <f aca="false">IF($B25="","",$C25/1000)</f>
        <v/>
      </c>
      <c r="E25" s="24" t="str">
        <f aca="false">IF($B25="","",$D25*$C$4)</f>
        <v/>
      </c>
      <c r="F25" s="25" t="str">
        <f aca="false">IF($B25="","",IF($E25&lt;=0,"NEITHER — zero",IF($E25&gt;=Settings!$B$19,Settings!$B$6,IF($E25&gt;Settings!$B$14,"NEITHER — over bench capacity",IF($E25&gt;=2*Settings!$B$12,Settings!$B$11,"NEITHER — under bench resolution")))))</f>
        <v/>
      </c>
      <c r="G25" s="24" t="str">
        <f aca="false">IF($B25="","",IF($F25=Settings!$B$6,MAX(2*Settings!$B$7,Settings!$B$4*$E25),IF($F25=Settings!$B$11,MAX(2*Settings!$B$12,Settings!$B$4*$E25),"")))</f>
        <v/>
      </c>
      <c r="H25" s="26" t="str">
        <f aca="false">IF($B25="","",IF(LEFT($F25,7)="NEITHER","Cannot be weighed — split it, premix it, or raise the batch size",IF($G25&gt;Settings!$B$4*$E25+0.0001,"Held to the scale's resolution, not "&amp;TEXT(Settings!$B$4,"0%"),"")))</f>
        <v/>
      </c>
    </row>
    <row r="26" customFormat="false" ht="15" hidden="false" customHeight="false" outlineLevel="0" collapsed="false">
      <c r="A26" s="20" t="str">
        <f aca="false">IF($B26="","",19)</f>
        <v/>
      </c>
      <c r="B26" s="21"/>
      <c r="C26" s="22"/>
      <c r="D26" s="23" t="str">
        <f aca="false">IF($B26="","",$C26/1000)</f>
        <v/>
      </c>
      <c r="E26" s="24" t="str">
        <f aca="false">IF($B26="","",$D26*$C$4)</f>
        <v/>
      </c>
      <c r="F26" s="25" t="str">
        <f aca="false">IF($B26="","",IF($E26&lt;=0,"NEITHER — zero",IF($E26&gt;=Settings!$B$19,Settings!$B$6,IF($E26&gt;Settings!$B$14,"NEITHER — over bench capacity",IF($E26&gt;=2*Settings!$B$12,Settings!$B$11,"NEITHER — under bench resolution")))))</f>
        <v/>
      </c>
      <c r="G26" s="24" t="str">
        <f aca="false">IF($B26="","",IF($F26=Settings!$B$6,MAX(2*Settings!$B$7,Settings!$B$4*$E26),IF($F26=Settings!$B$11,MAX(2*Settings!$B$12,Settings!$B$4*$E26),"")))</f>
        <v/>
      </c>
      <c r="H26" s="26" t="str">
        <f aca="false">IF($B26="","",IF(LEFT($F26,7)="NEITHER","Cannot be weighed — split it, premix it, or raise the batch size",IF($G26&gt;Settings!$B$4*$E26+0.0001,"Held to the scale's resolution, not "&amp;TEXT(Settings!$B$4,"0%"),"")))</f>
        <v/>
      </c>
    </row>
    <row r="27" customFormat="false" ht="15" hidden="false" customHeight="false" outlineLevel="0" collapsed="false">
      <c r="A27" s="20" t="str">
        <f aca="false">IF($B27="","",20)</f>
        <v/>
      </c>
      <c r="B27" s="21"/>
      <c r="C27" s="22"/>
      <c r="D27" s="23" t="str">
        <f aca="false">IF($B27="","",$C27/1000)</f>
        <v/>
      </c>
      <c r="E27" s="24" t="str">
        <f aca="false">IF($B27="","",$D27*$C$4)</f>
        <v/>
      </c>
      <c r="F27" s="25" t="str">
        <f aca="false">IF($B27="","",IF($E27&lt;=0,"NEITHER — zero",IF($E27&gt;=Settings!$B$19,Settings!$B$6,IF($E27&gt;Settings!$B$14,"NEITHER — over bench capacity",IF($E27&gt;=2*Settings!$B$12,Settings!$B$11,"NEITHER — under bench resolution")))))</f>
        <v/>
      </c>
      <c r="G27" s="24" t="str">
        <f aca="false">IF($B27="","",IF($F27=Settings!$B$6,MAX(2*Settings!$B$7,Settings!$B$4*$E27),IF($F27=Settings!$B$11,MAX(2*Settings!$B$12,Settings!$B$4*$E27),"")))</f>
        <v/>
      </c>
      <c r="H27" s="26" t="str">
        <f aca="false">IF($B27="","",IF(LEFT($F27,7)="NEITHER","Cannot be weighed — split it, premix it, or raise the batch size",IF($G27&gt;Settings!$B$4*$E27+0.0001,"Held to the scale's resolution, not "&amp;TEXT(Settings!$B$4,"0%"),"")))</f>
        <v/>
      </c>
    </row>
    <row r="28" customFormat="false" ht="15" hidden="false" customHeight="false" outlineLevel="0" collapsed="false">
      <c r="A28" s="20" t="str">
        <f aca="false">IF($B28="","",21)</f>
        <v/>
      </c>
      <c r="B28" s="21"/>
      <c r="C28" s="22"/>
      <c r="D28" s="23" t="str">
        <f aca="false">IF($B28="","",$C28/1000)</f>
        <v/>
      </c>
      <c r="E28" s="24" t="str">
        <f aca="false">IF($B28="","",$D28*$C$4)</f>
        <v/>
      </c>
      <c r="F28" s="25" t="str">
        <f aca="false">IF($B28="","",IF($E28&lt;=0,"NEITHER — zero",IF($E28&gt;=Settings!$B$19,Settings!$B$6,IF($E28&gt;Settings!$B$14,"NEITHER — over bench capacity",IF($E28&gt;=2*Settings!$B$12,Settings!$B$11,"NEITHER — under bench resolution")))))</f>
        <v/>
      </c>
      <c r="G28" s="24" t="str">
        <f aca="false">IF($B28="","",IF($F28=Settings!$B$6,MAX(2*Settings!$B$7,Settings!$B$4*$E28),IF($F28=Settings!$B$11,MAX(2*Settings!$B$12,Settings!$B$4*$E28),"")))</f>
        <v/>
      </c>
      <c r="H28" s="26" t="str">
        <f aca="false">IF($B28="","",IF(LEFT($F28,7)="NEITHER","Cannot be weighed — split it, premix it, or raise the batch size",IF($G28&gt;Settings!$B$4*$E28+0.0001,"Held to the scale's resolution, not "&amp;TEXT(Settings!$B$4,"0%"),"")))</f>
        <v/>
      </c>
    </row>
    <row r="29" customFormat="false" ht="15" hidden="false" customHeight="false" outlineLevel="0" collapsed="false">
      <c r="A29" s="20" t="str">
        <f aca="false">IF($B29="","",22)</f>
        <v/>
      </c>
      <c r="B29" s="21"/>
      <c r="C29" s="22"/>
      <c r="D29" s="23" t="str">
        <f aca="false">IF($B29="","",$C29/1000)</f>
        <v/>
      </c>
      <c r="E29" s="24" t="str">
        <f aca="false">IF($B29="","",$D29*$C$4)</f>
        <v/>
      </c>
      <c r="F29" s="25" t="str">
        <f aca="false">IF($B29="","",IF($E29&lt;=0,"NEITHER — zero",IF($E29&gt;=Settings!$B$19,Settings!$B$6,IF($E29&gt;Settings!$B$14,"NEITHER — over bench capacity",IF($E29&gt;=2*Settings!$B$12,Settings!$B$11,"NEITHER — under bench resolution")))))</f>
        <v/>
      </c>
      <c r="G29" s="24" t="str">
        <f aca="false">IF($B29="","",IF($F29=Settings!$B$6,MAX(2*Settings!$B$7,Settings!$B$4*$E29),IF($F29=Settings!$B$11,MAX(2*Settings!$B$12,Settings!$B$4*$E29),"")))</f>
        <v/>
      </c>
      <c r="H29" s="26" t="str">
        <f aca="false">IF($B29="","",IF(LEFT($F29,7)="NEITHER","Cannot be weighed — split it, premix it, or raise the batch size",IF($G29&gt;Settings!$B$4*$E29+0.0001,"Held to the scale's resolution, not "&amp;TEXT(Settings!$B$4,"0%"),"")))</f>
        <v/>
      </c>
    </row>
    <row r="30" customFormat="false" ht="15" hidden="false" customHeight="false" outlineLevel="0" collapsed="false">
      <c r="A30" s="20" t="str">
        <f aca="false">IF($B30="","",23)</f>
        <v/>
      </c>
      <c r="B30" s="21"/>
      <c r="C30" s="22"/>
      <c r="D30" s="23" t="str">
        <f aca="false">IF($B30="","",$C30/1000)</f>
        <v/>
      </c>
      <c r="E30" s="24" t="str">
        <f aca="false">IF($B30="","",$D30*$C$4)</f>
        <v/>
      </c>
      <c r="F30" s="25" t="str">
        <f aca="false">IF($B30="","",IF($E30&lt;=0,"NEITHER — zero",IF($E30&gt;=Settings!$B$19,Settings!$B$6,IF($E30&gt;Settings!$B$14,"NEITHER — over bench capacity",IF($E30&gt;=2*Settings!$B$12,Settings!$B$11,"NEITHER — under bench resolution")))))</f>
        <v/>
      </c>
      <c r="G30" s="24" t="str">
        <f aca="false">IF($B30="","",IF($F30=Settings!$B$6,MAX(2*Settings!$B$7,Settings!$B$4*$E30),IF($F30=Settings!$B$11,MAX(2*Settings!$B$12,Settings!$B$4*$E30),"")))</f>
        <v/>
      </c>
      <c r="H30" s="26" t="str">
        <f aca="false">IF($B30="","",IF(LEFT($F30,7)="NEITHER","Cannot be weighed — split it, premix it, or raise the batch size",IF($G30&gt;Settings!$B$4*$E30+0.0001,"Held to the scale's resolution, not "&amp;TEXT(Settings!$B$4,"0%"),"")))</f>
        <v/>
      </c>
    </row>
    <row r="31" customFormat="false" ht="15" hidden="false" customHeight="false" outlineLevel="0" collapsed="false">
      <c r="A31" s="20" t="str">
        <f aca="false">IF($B31="","",24)</f>
        <v/>
      </c>
      <c r="B31" s="21"/>
      <c r="C31" s="22"/>
      <c r="D31" s="23" t="str">
        <f aca="false">IF($B31="","",$C31/1000)</f>
        <v/>
      </c>
      <c r="E31" s="24" t="str">
        <f aca="false">IF($B31="","",$D31*$C$4)</f>
        <v/>
      </c>
      <c r="F31" s="25" t="str">
        <f aca="false">IF($B31="","",IF($E31&lt;=0,"NEITHER — zero",IF($E31&gt;=Settings!$B$19,Settings!$B$6,IF($E31&gt;Settings!$B$14,"NEITHER — over bench capacity",IF($E31&gt;=2*Settings!$B$12,Settings!$B$11,"NEITHER — under bench resolution")))))</f>
        <v/>
      </c>
      <c r="G31" s="24" t="str">
        <f aca="false">IF($B31="","",IF($F31=Settings!$B$6,MAX(2*Settings!$B$7,Settings!$B$4*$E31),IF($F31=Settings!$B$11,MAX(2*Settings!$B$12,Settings!$B$4*$E31),"")))</f>
        <v/>
      </c>
      <c r="H31" s="26" t="str">
        <f aca="false">IF($B31="","",IF(LEFT($F31,7)="NEITHER","Cannot be weighed — split it, premix it, or raise the batch size",IF($G31&gt;Settings!$B$4*$E31+0.0001,"Held to the scale's resolution, not "&amp;TEXT(Settings!$B$4,"0%"),"")))</f>
        <v/>
      </c>
    </row>
    <row r="32" customFormat="false" ht="15" hidden="false" customHeight="false" outlineLevel="0" collapsed="false">
      <c r="A32" s="20" t="str">
        <f aca="false">IF($B32="","",25)</f>
        <v/>
      </c>
      <c r="B32" s="21"/>
      <c r="C32" s="22"/>
      <c r="D32" s="23" t="str">
        <f aca="false">IF($B32="","",$C32/1000)</f>
        <v/>
      </c>
      <c r="E32" s="24" t="str">
        <f aca="false">IF($B32="","",$D32*$C$4)</f>
        <v/>
      </c>
      <c r="F32" s="25" t="str">
        <f aca="false">IF($B32="","",IF($E32&lt;=0,"NEITHER — zero",IF($E32&gt;=Settings!$B$19,Settings!$B$6,IF($E32&gt;Settings!$B$14,"NEITHER — over bench capacity",IF($E32&gt;=2*Settings!$B$12,Settings!$B$11,"NEITHER — under bench resolution")))))</f>
        <v/>
      </c>
      <c r="G32" s="24" t="str">
        <f aca="false">IF($B32="","",IF($F32=Settings!$B$6,MAX(2*Settings!$B$7,Settings!$B$4*$E32),IF($F32=Settings!$B$11,MAX(2*Settings!$B$12,Settings!$B$4*$E32),"")))</f>
        <v/>
      </c>
      <c r="H32" s="26" t="str">
        <f aca="false">IF($B32="","",IF(LEFT($F32,7)="NEITHER","Cannot be weighed — split it, premix it, or raise the batch size",IF($G32&gt;Settings!$B$4*$E32+0.0001,"Held to the scale's resolution, not "&amp;TEXT(Settings!$B$4,"0%"),"")))</f>
        <v/>
      </c>
    </row>
    <row r="33" customFormat="false" ht="15" hidden="false" customHeight="false" outlineLevel="0" collapsed="false">
      <c r="A33" s="20" t="str">
        <f aca="false">IF($B33="","",26)</f>
        <v/>
      </c>
      <c r="B33" s="21"/>
      <c r="C33" s="22"/>
      <c r="D33" s="23" t="str">
        <f aca="false">IF($B33="","",$C33/1000)</f>
        <v/>
      </c>
      <c r="E33" s="24" t="str">
        <f aca="false">IF($B33="","",$D33*$C$4)</f>
        <v/>
      </c>
      <c r="F33" s="25" t="str">
        <f aca="false">IF($B33="","",IF($E33&lt;=0,"NEITHER — zero",IF($E33&gt;=Settings!$B$19,Settings!$B$6,IF($E33&gt;Settings!$B$14,"NEITHER — over bench capacity",IF($E33&gt;=2*Settings!$B$12,Settings!$B$11,"NEITHER — under bench resolution")))))</f>
        <v/>
      </c>
      <c r="G33" s="24" t="str">
        <f aca="false">IF($B33="","",IF($F33=Settings!$B$6,MAX(2*Settings!$B$7,Settings!$B$4*$E33),IF($F33=Settings!$B$11,MAX(2*Settings!$B$12,Settings!$B$4*$E33),"")))</f>
        <v/>
      </c>
      <c r="H33" s="26" t="str">
        <f aca="false">IF($B33="","",IF(LEFT($F33,7)="NEITHER","Cannot be weighed — split it, premix it, or raise the batch size",IF($G33&gt;Settings!$B$4*$E33+0.0001,"Held to the scale's resolution, not "&amp;TEXT(Settings!$B$4,"0%"),"")))</f>
        <v/>
      </c>
    </row>
    <row r="34" customFormat="false" ht="15" hidden="false" customHeight="false" outlineLevel="0" collapsed="false">
      <c r="A34" s="20" t="str">
        <f aca="false">IF($B34="","",27)</f>
        <v/>
      </c>
      <c r="B34" s="21"/>
      <c r="C34" s="22"/>
      <c r="D34" s="23" t="str">
        <f aca="false">IF($B34="","",$C34/1000)</f>
        <v/>
      </c>
      <c r="E34" s="24" t="str">
        <f aca="false">IF($B34="","",$D34*$C$4)</f>
        <v/>
      </c>
      <c r="F34" s="25" t="str">
        <f aca="false">IF($B34="","",IF($E34&lt;=0,"NEITHER — zero",IF($E34&gt;=Settings!$B$19,Settings!$B$6,IF($E34&gt;Settings!$B$14,"NEITHER — over bench capacity",IF($E34&gt;=2*Settings!$B$12,Settings!$B$11,"NEITHER — under bench resolution")))))</f>
        <v/>
      </c>
      <c r="G34" s="24" t="str">
        <f aca="false">IF($B34="","",IF($F34=Settings!$B$6,MAX(2*Settings!$B$7,Settings!$B$4*$E34),IF($F34=Settings!$B$11,MAX(2*Settings!$B$12,Settings!$B$4*$E34),"")))</f>
        <v/>
      </c>
      <c r="H34" s="26" t="str">
        <f aca="false">IF($B34="","",IF(LEFT($F34,7)="NEITHER","Cannot be weighed — split it, premix it, or raise the batch size",IF($G34&gt;Settings!$B$4*$E34+0.0001,"Held to the scale's resolution, not "&amp;TEXT(Settings!$B$4,"0%"),"")))</f>
        <v/>
      </c>
    </row>
    <row r="35" customFormat="false" ht="15" hidden="false" customHeight="false" outlineLevel="0" collapsed="false">
      <c r="A35" s="20" t="str">
        <f aca="false">IF($B35="","",28)</f>
        <v/>
      </c>
      <c r="B35" s="21"/>
      <c r="C35" s="22"/>
      <c r="D35" s="23" t="str">
        <f aca="false">IF($B35="","",$C35/1000)</f>
        <v/>
      </c>
      <c r="E35" s="24" t="str">
        <f aca="false">IF($B35="","",$D35*$C$4)</f>
        <v/>
      </c>
      <c r="F35" s="25" t="str">
        <f aca="false">IF($B35="","",IF($E35&lt;=0,"NEITHER — zero",IF($E35&gt;=Settings!$B$19,Settings!$B$6,IF($E35&gt;Settings!$B$14,"NEITHER — over bench capacity",IF($E35&gt;=2*Settings!$B$12,Settings!$B$11,"NEITHER — under bench resolution")))))</f>
        <v/>
      </c>
      <c r="G35" s="24" t="str">
        <f aca="false">IF($B35="","",IF($F35=Settings!$B$6,MAX(2*Settings!$B$7,Settings!$B$4*$E35),IF($F35=Settings!$B$11,MAX(2*Settings!$B$12,Settings!$B$4*$E35),"")))</f>
        <v/>
      </c>
      <c r="H35" s="26" t="str">
        <f aca="false">IF($B35="","",IF(LEFT($F35,7)="NEITHER","Cannot be weighed — split it, premix it, or raise the batch size",IF($G35&gt;Settings!$B$4*$E35+0.0001,"Held to the scale's resolution, not "&amp;TEXT(Settings!$B$4,"0%"),"")))</f>
        <v/>
      </c>
    </row>
    <row r="36" customFormat="false" ht="15" hidden="false" customHeight="false" outlineLevel="0" collapsed="false">
      <c r="A36" s="20" t="str">
        <f aca="false">IF($B36="","",29)</f>
        <v/>
      </c>
      <c r="B36" s="21"/>
      <c r="C36" s="22"/>
      <c r="D36" s="23" t="str">
        <f aca="false">IF($B36="","",$C36/1000)</f>
        <v/>
      </c>
      <c r="E36" s="24" t="str">
        <f aca="false">IF($B36="","",$D36*$C$4)</f>
        <v/>
      </c>
      <c r="F36" s="25" t="str">
        <f aca="false">IF($B36="","",IF($E36&lt;=0,"NEITHER — zero",IF($E36&gt;=Settings!$B$19,Settings!$B$6,IF($E36&gt;Settings!$B$14,"NEITHER — over bench capacity",IF($E36&gt;=2*Settings!$B$12,Settings!$B$11,"NEITHER — under bench resolution")))))</f>
        <v/>
      </c>
      <c r="G36" s="24" t="str">
        <f aca="false">IF($B36="","",IF($F36=Settings!$B$6,MAX(2*Settings!$B$7,Settings!$B$4*$E36),IF($F36=Settings!$B$11,MAX(2*Settings!$B$12,Settings!$B$4*$E36),"")))</f>
        <v/>
      </c>
      <c r="H36" s="26" t="str">
        <f aca="false">IF($B36="","",IF(LEFT($F36,7)="NEITHER","Cannot be weighed — split it, premix it, or raise the batch size",IF($G36&gt;Settings!$B$4*$E36+0.0001,"Held to the scale's resolution, not "&amp;TEXT(Settings!$B$4,"0%"),"")))</f>
        <v/>
      </c>
    </row>
    <row r="37" customFormat="false" ht="15" hidden="false" customHeight="false" outlineLevel="0" collapsed="false">
      <c r="A37" s="20" t="str">
        <f aca="false">IF($B37="","",30)</f>
        <v/>
      </c>
      <c r="B37" s="21"/>
      <c r="C37" s="22"/>
      <c r="D37" s="23" t="str">
        <f aca="false">IF($B37="","",$C37/1000)</f>
        <v/>
      </c>
      <c r="E37" s="24" t="str">
        <f aca="false">IF($B37="","",$D37*$C$4)</f>
        <v/>
      </c>
      <c r="F37" s="25" t="str">
        <f aca="false">IF($B37="","",IF($E37&lt;=0,"NEITHER — zero",IF($E37&gt;=Settings!$B$19,Settings!$B$6,IF($E37&gt;Settings!$B$14,"NEITHER — over bench capacity",IF($E37&gt;=2*Settings!$B$12,Settings!$B$11,"NEITHER — under bench resolution")))))</f>
        <v/>
      </c>
      <c r="G37" s="24" t="str">
        <f aca="false">IF($B37="","",IF($F37=Settings!$B$6,MAX(2*Settings!$B$7,Settings!$B$4*$E37),IF($F37=Settings!$B$11,MAX(2*Settings!$B$12,Settings!$B$4*$E37),"")))</f>
        <v/>
      </c>
      <c r="H37" s="26" t="str">
        <f aca="false">IF($B37="","",IF(LEFT($F37,7)="NEITHER","Cannot be weighed — split it, premix it, or raise the batch size",IF($G37&gt;Settings!$B$4*$E37+0.0001,"Held to the scale's resolution, not "&amp;TEXT(Settings!$B$4,"0%"),"")))</f>
        <v/>
      </c>
    </row>
    <row r="38" customFormat="false" ht="15" hidden="false" customHeight="false" outlineLevel="0" collapsed="false">
      <c r="A38" s="20" t="str">
        <f aca="false">IF($B38="","",31)</f>
        <v/>
      </c>
      <c r="B38" s="21"/>
      <c r="C38" s="22"/>
      <c r="D38" s="23" t="str">
        <f aca="false">IF($B38="","",$C38/1000)</f>
        <v/>
      </c>
      <c r="E38" s="24" t="str">
        <f aca="false">IF($B38="","",$D38*$C$4)</f>
        <v/>
      </c>
      <c r="F38" s="25" t="str">
        <f aca="false">IF($B38="","",IF($E38&lt;=0,"NEITHER — zero",IF($E38&gt;=Settings!$B$19,Settings!$B$6,IF($E38&gt;Settings!$B$14,"NEITHER — over bench capacity",IF($E38&gt;=2*Settings!$B$12,Settings!$B$11,"NEITHER — under bench resolution")))))</f>
        <v/>
      </c>
      <c r="G38" s="24" t="str">
        <f aca="false">IF($B38="","",IF($F38=Settings!$B$6,MAX(2*Settings!$B$7,Settings!$B$4*$E38),IF($F38=Settings!$B$11,MAX(2*Settings!$B$12,Settings!$B$4*$E38),"")))</f>
        <v/>
      </c>
      <c r="H38" s="26" t="str">
        <f aca="false">IF($B38="","",IF(LEFT($F38,7)="NEITHER","Cannot be weighed — split it, premix it, or raise the batch size",IF($G38&gt;Settings!$B$4*$E38+0.0001,"Held to the scale's resolution, not "&amp;TEXT(Settings!$B$4,"0%"),"")))</f>
        <v/>
      </c>
    </row>
    <row r="39" customFormat="false" ht="15" hidden="false" customHeight="false" outlineLevel="0" collapsed="false">
      <c r="A39" s="20" t="str">
        <f aca="false">IF($B39="","",32)</f>
        <v/>
      </c>
      <c r="B39" s="21"/>
      <c r="C39" s="22"/>
      <c r="D39" s="23" t="str">
        <f aca="false">IF($B39="","",$C39/1000)</f>
        <v/>
      </c>
      <c r="E39" s="24" t="str">
        <f aca="false">IF($B39="","",$D39*$C$4)</f>
        <v/>
      </c>
      <c r="F39" s="25" t="str">
        <f aca="false">IF($B39="","",IF($E39&lt;=0,"NEITHER — zero",IF($E39&gt;=Settings!$B$19,Settings!$B$6,IF($E39&gt;Settings!$B$14,"NEITHER — over bench capacity",IF($E39&gt;=2*Settings!$B$12,Settings!$B$11,"NEITHER — under bench resolution")))))</f>
        <v/>
      </c>
      <c r="G39" s="24" t="str">
        <f aca="false">IF($B39="","",IF($F39=Settings!$B$6,MAX(2*Settings!$B$7,Settings!$B$4*$E39),IF($F39=Settings!$B$11,MAX(2*Settings!$B$12,Settings!$B$4*$E39),"")))</f>
        <v/>
      </c>
      <c r="H39" s="26" t="str">
        <f aca="false">IF($B39="","",IF(LEFT($F39,7)="NEITHER","Cannot be weighed — split it, premix it, or raise the batch size",IF($G39&gt;Settings!$B$4*$E39+0.0001,"Held to the scale's resolution, not "&amp;TEXT(Settings!$B$4,"0%"),"")))</f>
        <v/>
      </c>
    </row>
    <row r="40" customFormat="false" ht="15" hidden="false" customHeight="false" outlineLevel="0" collapsed="false">
      <c r="A40" s="20" t="str">
        <f aca="false">IF($B40="","",33)</f>
        <v/>
      </c>
      <c r="B40" s="21"/>
      <c r="C40" s="22"/>
      <c r="D40" s="23" t="str">
        <f aca="false">IF($B40="","",$C40/1000)</f>
        <v/>
      </c>
      <c r="E40" s="24" t="str">
        <f aca="false">IF($B40="","",$D40*$C$4)</f>
        <v/>
      </c>
      <c r="F40" s="25" t="str">
        <f aca="false">IF($B40="","",IF($E40&lt;=0,"NEITHER — zero",IF($E40&gt;=Settings!$B$19,Settings!$B$6,IF($E40&gt;Settings!$B$14,"NEITHER — over bench capacity",IF($E40&gt;=2*Settings!$B$12,Settings!$B$11,"NEITHER — under bench resolution")))))</f>
        <v/>
      </c>
      <c r="G40" s="24" t="str">
        <f aca="false">IF($B40="","",IF($F40=Settings!$B$6,MAX(2*Settings!$B$7,Settings!$B$4*$E40),IF($F40=Settings!$B$11,MAX(2*Settings!$B$12,Settings!$B$4*$E40),"")))</f>
        <v/>
      </c>
      <c r="H40" s="26" t="str">
        <f aca="false">IF($B40="","",IF(LEFT($F40,7)="NEITHER","Cannot be weighed — split it, premix it, or raise the batch size",IF($G40&gt;Settings!$B$4*$E40+0.0001,"Held to the scale's resolution, not "&amp;TEXT(Settings!$B$4,"0%"),"")))</f>
        <v/>
      </c>
    </row>
    <row r="41" customFormat="false" ht="15" hidden="false" customHeight="false" outlineLevel="0" collapsed="false">
      <c r="A41" s="20" t="str">
        <f aca="false">IF($B41="","",34)</f>
        <v/>
      </c>
      <c r="B41" s="21"/>
      <c r="C41" s="22"/>
      <c r="D41" s="23" t="str">
        <f aca="false">IF($B41="","",$C41/1000)</f>
        <v/>
      </c>
      <c r="E41" s="24" t="str">
        <f aca="false">IF($B41="","",$D41*$C$4)</f>
        <v/>
      </c>
      <c r="F41" s="25" t="str">
        <f aca="false">IF($B41="","",IF($E41&lt;=0,"NEITHER — zero",IF($E41&gt;=Settings!$B$19,Settings!$B$6,IF($E41&gt;Settings!$B$14,"NEITHER — over bench capacity",IF($E41&gt;=2*Settings!$B$12,Settings!$B$11,"NEITHER — under bench resolution")))))</f>
        <v/>
      </c>
      <c r="G41" s="24" t="str">
        <f aca="false">IF($B41="","",IF($F41=Settings!$B$6,MAX(2*Settings!$B$7,Settings!$B$4*$E41),IF($F41=Settings!$B$11,MAX(2*Settings!$B$12,Settings!$B$4*$E41),"")))</f>
        <v/>
      </c>
      <c r="H41" s="26" t="str">
        <f aca="false">IF($B41="","",IF(LEFT($F41,7)="NEITHER","Cannot be weighed — split it, premix it, or raise the batch size",IF($G41&gt;Settings!$B$4*$E41+0.0001,"Held to the scale's resolution, not "&amp;TEXT(Settings!$B$4,"0%"),"")))</f>
        <v/>
      </c>
    </row>
    <row r="42" customFormat="false" ht="15" hidden="false" customHeight="false" outlineLevel="0" collapsed="false">
      <c r="A42" s="20" t="str">
        <f aca="false">IF($B42="","",35)</f>
        <v/>
      </c>
      <c r="B42" s="21"/>
      <c r="C42" s="22"/>
      <c r="D42" s="23" t="str">
        <f aca="false">IF($B42="","",$C42/1000)</f>
        <v/>
      </c>
      <c r="E42" s="24" t="str">
        <f aca="false">IF($B42="","",$D42*$C$4)</f>
        <v/>
      </c>
      <c r="F42" s="25" t="str">
        <f aca="false">IF($B42="","",IF($E42&lt;=0,"NEITHER — zero",IF($E42&gt;=Settings!$B$19,Settings!$B$6,IF($E42&gt;Settings!$B$14,"NEITHER — over bench capacity",IF($E42&gt;=2*Settings!$B$12,Settings!$B$11,"NEITHER — under bench resolution")))))</f>
        <v/>
      </c>
      <c r="G42" s="24" t="str">
        <f aca="false">IF($B42="","",IF($F42=Settings!$B$6,MAX(2*Settings!$B$7,Settings!$B$4*$E42),IF($F42=Settings!$B$11,MAX(2*Settings!$B$12,Settings!$B$4*$E42),"")))</f>
        <v/>
      </c>
      <c r="H42" s="26" t="str">
        <f aca="false">IF($B42="","",IF(LEFT($F42,7)="NEITHER","Cannot be weighed — split it, premix it, or raise the batch size",IF($G42&gt;Settings!$B$4*$E42+0.0001,"Held to the scale's resolution, not "&amp;TEXT(Settings!$B$4,"0%"),"")))</f>
        <v/>
      </c>
    </row>
    <row r="43" customFormat="false" ht="15" hidden="false" customHeight="false" outlineLevel="0" collapsed="false">
      <c r="A43" s="20" t="str">
        <f aca="false">IF($B43="","",36)</f>
        <v/>
      </c>
      <c r="B43" s="21"/>
      <c r="C43" s="22"/>
      <c r="D43" s="23" t="str">
        <f aca="false">IF($B43="","",$C43/1000)</f>
        <v/>
      </c>
      <c r="E43" s="24" t="str">
        <f aca="false">IF($B43="","",$D43*$C$4)</f>
        <v/>
      </c>
      <c r="F43" s="25" t="str">
        <f aca="false">IF($B43="","",IF($E43&lt;=0,"NEITHER — zero",IF($E43&gt;=Settings!$B$19,Settings!$B$6,IF($E43&gt;Settings!$B$14,"NEITHER — over bench capacity",IF($E43&gt;=2*Settings!$B$12,Settings!$B$11,"NEITHER — under bench resolution")))))</f>
        <v/>
      </c>
      <c r="G43" s="24" t="str">
        <f aca="false">IF($B43="","",IF($F43=Settings!$B$6,MAX(2*Settings!$B$7,Settings!$B$4*$E43),IF($F43=Settings!$B$11,MAX(2*Settings!$B$12,Settings!$B$4*$E43),"")))</f>
        <v/>
      </c>
      <c r="H43" s="26" t="str">
        <f aca="false">IF($B43="","",IF(LEFT($F43,7)="NEITHER","Cannot be weighed — split it, premix it, or raise the batch size",IF($G43&gt;Settings!$B$4*$E43+0.0001,"Held to the scale's resolution, not "&amp;TEXT(Settings!$B$4,"0%"),"")))</f>
        <v/>
      </c>
    </row>
    <row r="44" customFormat="false" ht="15" hidden="false" customHeight="false" outlineLevel="0" collapsed="false">
      <c r="A44" s="20" t="str">
        <f aca="false">IF($B44="","",37)</f>
        <v/>
      </c>
      <c r="B44" s="21"/>
      <c r="C44" s="22"/>
      <c r="D44" s="23" t="str">
        <f aca="false">IF($B44="","",$C44/1000)</f>
        <v/>
      </c>
      <c r="E44" s="24" t="str">
        <f aca="false">IF($B44="","",$D44*$C$4)</f>
        <v/>
      </c>
      <c r="F44" s="25" t="str">
        <f aca="false">IF($B44="","",IF($E44&lt;=0,"NEITHER — zero",IF($E44&gt;=Settings!$B$19,Settings!$B$6,IF($E44&gt;Settings!$B$14,"NEITHER — over bench capacity",IF($E44&gt;=2*Settings!$B$12,Settings!$B$11,"NEITHER — under bench resolution")))))</f>
        <v/>
      </c>
      <c r="G44" s="24" t="str">
        <f aca="false">IF($B44="","",IF($F44=Settings!$B$6,MAX(2*Settings!$B$7,Settings!$B$4*$E44),IF($F44=Settings!$B$11,MAX(2*Settings!$B$12,Settings!$B$4*$E44),"")))</f>
        <v/>
      </c>
      <c r="H44" s="26" t="str">
        <f aca="false">IF($B44="","",IF(LEFT($F44,7)="NEITHER","Cannot be weighed — split it, premix it, or raise the batch size",IF($G44&gt;Settings!$B$4*$E44+0.0001,"Held to the scale's resolution, not "&amp;TEXT(Settings!$B$4,"0%"),"")))</f>
        <v/>
      </c>
    </row>
    <row r="45" customFormat="false" ht="15" hidden="false" customHeight="false" outlineLevel="0" collapsed="false">
      <c r="A45" s="20" t="str">
        <f aca="false">IF($B45="","",38)</f>
        <v/>
      </c>
      <c r="B45" s="21"/>
      <c r="C45" s="22"/>
      <c r="D45" s="23" t="str">
        <f aca="false">IF($B45="","",$C45/1000)</f>
        <v/>
      </c>
      <c r="E45" s="24" t="str">
        <f aca="false">IF($B45="","",$D45*$C$4)</f>
        <v/>
      </c>
      <c r="F45" s="25" t="str">
        <f aca="false">IF($B45="","",IF($E45&lt;=0,"NEITHER — zero",IF($E45&gt;=Settings!$B$19,Settings!$B$6,IF($E45&gt;Settings!$B$14,"NEITHER — over bench capacity",IF($E45&gt;=2*Settings!$B$12,Settings!$B$11,"NEITHER — under bench resolution")))))</f>
        <v/>
      </c>
      <c r="G45" s="24" t="str">
        <f aca="false">IF($B45="","",IF($F45=Settings!$B$6,MAX(2*Settings!$B$7,Settings!$B$4*$E45),IF($F45=Settings!$B$11,MAX(2*Settings!$B$12,Settings!$B$4*$E45),"")))</f>
        <v/>
      </c>
      <c r="H45" s="26" t="str">
        <f aca="false">IF($B45="","",IF(LEFT($F45,7)="NEITHER","Cannot be weighed — split it, premix it, or raise the batch size",IF($G45&gt;Settings!$B$4*$E45+0.0001,"Held to the scale's resolution, not "&amp;TEXT(Settings!$B$4,"0%"),"")))</f>
        <v/>
      </c>
    </row>
    <row r="46" customFormat="false" ht="15" hidden="false" customHeight="false" outlineLevel="0" collapsed="false">
      <c r="A46" s="20" t="str">
        <f aca="false">IF($B46="","",39)</f>
        <v/>
      </c>
      <c r="B46" s="21"/>
      <c r="C46" s="22"/>
      <c r="D46" s="23" t="str">
        <f aca="false">IF($B46="","",$C46/1000)</f>
        <v/>
      </c>
      <c r="E46" s="24" t="str">
        <f aca="false">IF($B46="","",$D46*$C$4)</f>
        <v/>
      </c>
      <c r="F46" s="25" t="str">
        <f aca="false">IF($B46="","",IF($E46&lt;=0,"NEITHER — zero",IF($E46&gt;=Settings!$B$19,Settings!$B$6,IF($E46&gt;Settings!$B$14,"NEITHER — over bench capacity",IF($E46&gt;=2*Settings!$B$12,Settings!$B$11,"NEITHER — under bench resolution")))))</f>
        <v/>
      </c>
      <c r="G46" s="24" t="str">
        <f aca="false">IF($B46="","",IF($F46=Settings!$B$6,MAX(2*Settings!$B$7,Settings!$B$4*$E46),IF($F46=Settings!$B$11,MAX(2*Settings!$B$12,Settings!$B$4*$E46),"")))</f>
        <v/>
      </c>
      <c r="H46" s="26" t="str">
        <f aca="false">IF($B46="","",IF(LEFT($F46,7)="NEITHER","Cannot be weighed — split it, premix it, or raise the batch size",IF($G46&gt;Settings!$B$4*$E46+0.0001,"Held to the scale's resolution, not "&amp;TEXT(Settings!$B$4,"0%"),"")))</f>
        <v/>
      </c>
    </row>
    <row r="47" customFormat="false" ht="15" hidden="false" customHeight="false" outlineLevel="0" collapsed="false">
      <c r="A47" s="20" t="str">
        <f aca="false">IF($B47="","",40)</f>
        <v/>
      </c>
      <c r="B47" s="21"/>
      <c r="C47" s="22"/>
      <c r="D47" s="23" t="str">
        <f aca="false">IF($B47="","",$C47/1000)</f>
        <v/>
      </c>
      <c r="E47" s="24" t="str">
        <f aca="false">IF($B47="","",$D47*$C$4)</f>
        <v/>
      </c>
      <c r="F47" s="25" t="str">
        <f aca="false">IF($B47="","",IF($E47&lt;=0,"NEITHER — zero",IF($E47&gt;=Settings!$B$19,Settings!$B$6,IF($E47&gt;Settings!$B$14,"NEITHER — over bench capacity",IF($E47&gt;=2*Settings!$B$12,Settings!$B$11,"NEITHER — under bench resolution")))))</f>
        <v/>
      </c>
      <c r="G47" s="24" t="str">
        <f aca="false">IF($B47="","",IF($F47=Settings!$B$6,MAX(2*Settings!$B$7,Settings!$B$4*$E47),IF($F47=Settings!$B$11,MAX(2*Settings!$B$12,Settings!$B$4*$E47),"")))</f>
        <v/>
      </c>
      <c r="H47" s="26" t="str">
        <f aca="false">IF($B47="","",IF(LEFT($F47,7)="NEITHER","Cannot be weighed — split it, premix it, or raise the batch size",IF($G47&gt;Settings!$B$4*$E47+0.0001,"Held to the scale's resolution, not "&amp;TEXT(Settings!$B$4,"0%"),"")))</f>
        <v/>
      </c>
    </row>
    <row r="49" customFormat="false" ht="15" hidden="false" customHeight="false" outlineLevel="0" collapsed="false">
      <c r="B49" s="27" t="s">
        <v>77</v>
      </c>
      <c r="C49" s="28" t="n">
        <f aca="false">SUM(C8:C47)</f>
        <v>7.5</v>
      </c>
      <c r="D49" s="29" t="n">
        <f aca="false">SUM(D8:D47)</f>
        <v>0.0075</v>
      </c>
      <c r="E49" s="28" t="n">
        <f aca="false">SUM(E8:E47)</f>
        <v>24</v>
      </c>
    </row>
    <row r="50" customFormat="false" ht="15" hidden="false" customHeight="false" outlineLevel="0" collapsed="false">
      <c r="B50" s="5" t="s">
        <v>78</v>
      </c>
      <c r="E50" s="30" t="n">
        <f aca="false">$C$4+E49</f>
        <v>3224</v>
      </c>
    </row>
    <row r="52" customFormat="false" ht="15" hidden="false" customHeight="false" outlineLevel="0" collapsed="false">
      <c r="B52" s="15" t="str">
        <f aca="false">IF(COUNTIF($F$8:$F$47,"NEITHER*")=0,"All ingredients can be weighed.","WARNING: "&amp;COUNTIF($F$8:$F$47,"NEITHER*")&amp;" ingredient(s) cannot be weighed on either scale — see the Note column.")</f>
        <v>All ingredients can be weighed.</v>
      </c>
      <c r="C52" s="15"/>
      <c r="D52" s="15"/>
      <c r="E52" s="15"/>
      <c r="F52" s="15"/>
      <c r="G52" s="15"/>
      <c r="H52" s="15"/>
    </row>
  </sheetData>
  <mergeCells count="11">
    <mergeCell ref="A1:H1"/>
    <mergeCell ref="A2:H2"/>
    <mergeCell ref="A4:B4"/>
    <mergeCell ref="D4:H4"/>
    <mergeCell ref="A5:B5"/>
    <mergeCell ref="D5:E5"/>
    <mergeCell ref="F5:H5"/>
    <mergeCell ref="A6:B6"/>
    <mergeCell ref="D6:E6"/>
    <mergeCell ref="F6:H6"/>
    <mergeCell ref="B52:H52"/>
  </mergeCells>
  <conditionalFormatting sqref="B52:H52">
    <cfRule type="expression" priority="2" aboveAverage="0" equalAverage="0" bottom="0" percent="0" rank="0" text="" dxfId="0">
      <formula>LEFT($B$52,5)="ERROR"</formula>
    </cfRule>
  </conditionalFormatting>
  <conditionalFormatting sqref="A8:H47">
    <cfRule type="expression" priority="3" aboveAverage="0" equalAverage="0" bottom="0" percent="0" rank="0" text="" dxfId="1">
      <formula>LEFT($F8,7)="NEITHER"</formula>
    </cfRule>
    <cfRule type="expression" priority="4" aboveAverage="0" equalAverage="0" bottom="0" percent="0" rank="0" text="" dxfId="2">
      <formula>AND($B8&lt;&gt;"",$H8&lt;&gt;"")</formula>
    </cfRule>
  </conditionalFormatting>
  <dataValidations count="1">
    <dataValidation allowBlank="true" errorStyle="stop" operator="between" showDropDown="false" showErrorMessage="false" showInputMessage="false" sqref="B8:B47" type="list">
      <formula1>IngredientList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45</v>
      </c>
      <c r="B4" s="16"/>
      <c r="C4" s="17" t="n">
        <v>3200</v>
      </c>
      <c r="D4" s="2" t="s">
        <v>46</v>
      </c>
      <c r="E4" s="2"/>
      <c r="F4" s="2"/>
      <c r="G4" s="2"/>
      <c r="H4" s="2"/>
    </row>
    <row r="5" customFormat="false" ht="15" hidden="false" customHeight="false" outlineLevel="0" collapsed="false">
      <c r="A5" s="16" t="s">
        <v>47</v>
      </c>
      <c r="B5" s="16"/>
      <c r="C5" s="8" t="s">
        <v>87</v>
      </c>
      <c r="D5" s="16" t="s">
        <v>49</v>
      </c>
      <c r="E5" s="16"/>
      <c r="F5" s="18" t="s">
        <v>50</v>
      </c>
      <c r="G5" s="18"/>
      <c r="H5" s="18"/>
    </row>
    <row r="6" customFormat="false" ht="15" hidden="false" customHeight="false" outlineLevel="0" collapsed="false">
      <c r="A6" s="16" t="s">
        <v>51</v>
      </c>
      <c r="B6" s="16"/>
      <c r="C6" s="8" t="s">
        <v>81</v>
      </c>
      <c r="D6" s="16" t="s">
        <v>52</v>
      </c>
      <c r="E6" s="16"/>
      <c r="F6" s="18" t="s">
        <v>82</v>
      </c>
      <c r="G6" s="18"/>
      <c r="H6" s="18"/>
    </row>
    <row r="7" customFormat="false" ht="23.85" hidden="false" customHeight="false" outlineLevel="0" collapsed="false">
      <c r="A7" s="19" t="s">
        <v>53</v>
      </c>
      <c r="B7" s="19" t="s">
        <v>54</v>
      </c>
      <c r="C7" s="19" t="s">
        <v>55</v>
      </c>
      <c r="D7" s="19" t="s">
        <v>56</v>
      </c>
      <c r="E7" s="19" t="s">
        <v>57</v>
      </c>
      <c r="F7" s="19" t="s">
        <v>58</v>
      </c>
      <c r="G7" s="19" t="s">
        <v>59</v>
      </c>
      <c r="H7" s="19" t="s">
        <v>60</v>
      </c>
    </row>
    <row r="8" customFormat="false" ht="15" hidden="false" customHeight="false" outlineLevel="0" collapsed="false">
      <c r="A8" s="20" t="n">
        <f aca="false">IF($B8="","",1)</f>
        <v>1</v>
      </c>
      <c r="B8" s="31" t="s">
        <v>83</v>
      </c>
      <c r="C8" s="32" t="n">
        <v>7.5</v>
      </c>
      <c r="D8" s="23" t="n">
        <f aca="false">IF($B8="","",$C8/1000)</f>
        <v>0.0075</v>
      </c>
      <c r="E8" s="24" t="n">
        <f aca="false">IF($B8="","",$D8*$C$4)</f>
        <v>24</v>
      </c>
      <c r="F8" s="25" t="str">
        <f aca="false">IF($B8="","",IF($E8&lt;=0,"NEITHER — zero",IF($E8&gt;=Settings!$B$19,Settings!$B$6,IF($E8&gt;Settings!$B$14,"NEITHER — over bench capacity",IF($E8&gt;=2*Settings!$B$12,Settings!$B$11,"NEITHER — under bench resolution")))))</f>
        <v>Bench scale</v>
      </c>
      <c r="G8" s="24" t="n">
        <f aca="false">IF($B8="","",IF($F8=Settings!$B$6,MAX(2*Settings!$B$7,Settings!$B$4*$E8),IF($F8=Settings!$B$11,MAX(2*Settings!$B$12,Settings!$B$4*$E8),"")))</f>
        <v>0.48</v>
      </c>
      <c r="H8" s="33" t="str">
        <f aca="false">IF($B8="","",IF(LEFT($F8,7)="NEITHER","Cannot be weighed — split it, premix it, or raise the batch size",IF($G8&gt;Settings!$B$4*$E8+0.0001,"Held to the scale's resolution, not "&amp;TEXT(Settings!$B$4,"0%"),"")))</f>
        <v/>
      </c>
    </row>
    <row r="9" customFormat="false" ht="15" hidden="false" customHeight="false" outlineLevel="0" collapsed="false">
      <c r="A9" s="20" t="str">
        <f aca="false">IF($B9="","",2)</f>
        <v/>
      </c>
      <c r="B9" s="21"/>
      <c r="C9" s="22"/>
      <c r="D9" s="23" t="str">
        <f aca="false">IF($B9="","",$C9/1000)</f>
        <v/>
      </c>
      <c r="E9" s="24" t="str">
        <f aca="false">IF($B9="","",$D9*$C$4)</f>
        <v/>
      </c>
      <c r="F9" s="25" t="str">
        <f aca="false">IF($B9="","",IF($E9&lt;=0,"NEITHER — zero",IF($E9&gt;=Settings!$B$19,Settings!$B$6,IF($E9&gt;Settings!$B$14,"NEITHER — over bench capacity",IF($E9&gt;=2*Settings!$B$12,Settings!$B$11,"NEITHER — under bench resolution")))))</f>
        <v/>
      </c>
      <c r="G9" s="24" t="str">
        <f aca="false">IF($B9="","",IF($F9=Settings!$B$6,MAX(2*Settings!$B$7,Settings!$B$4*$E9),IF($F9=Settings!$B$11,MAX(2*Settings!$B$12,Settings!$B$4*$E9),"")))</f>
        <v/>
      </c>
      <c r="H9" s="26" t="str">
        <f aca="false">IF($B9="","",IF(LEFT($F9,7)="NEITHER","Cannot be weighed — split it, premix it, or raise the batch size",IF($G9&gt;Settings!$B$4*$E9+0.0001,"Held to the scale's resolution, not "&amp;TEXT(Settings!$B$4,"0%"),"")))</f>
        <v/>
      </c>
    </row>
    <row r="10" customFormat="false" ht="15" hidden="false" customHeight="false" outlineLevel="0" collapsed="false">
      <c r="A10" s="20" t="str">
        <f aca="false">IF($B10="","",3)</f>
        <v/>
      </c>
      <c r="B10" s="21"/>
      <c r="C10" s="22"/>
      <c r="D10" s="23" t="str">
        <f aca="false">IF($B10="","",$C10/1000)</f>
        <v/>
      </c>
      <c r="E10" s="24" t="str">
        <f aca="false">IF($B10="","",$D10*$C$4)</f>
        <v/>
      </c>
      <c r="F10" s="25" t="str">
        <f aca="false">IF($B10="","",IF($E10&lt;=0,"NEITHER — zero",IF($E10&gt;=Settings!$B$19,Settings!$B$6,IF($E10&gt;Settings!$B$14,"NEITHER — over bench capacity",IF($E10&gt;=2*Settings!$B$12,Settings!$B$11,"NEITHER — under bench resolution")))))</f>
        <v/>
      </c>
      <c r="G10" s="24" t="str">
        <f aca="false">IF($B10="","",IF($F10=Settings!$B$6,MAX(2*Settings!$B$7,Settings!$B$4*$E10),IF($F10=Settings!$B$11,MAX(2*Settings!$B$12,Settings!$B$4*$E10),"")))</f>
        <v/>
      </c>
      <c r="H10" s="26" t="str">
        <f aca="false">IF($B10="","",IF(LEFT($F10,7)="NEITHER","Cannot be weighed — split it, premix it, or raise the batch size",IF($G10&gt;Settings!$B$4*$E10+0.0001,"Held to the scale's resolution, not "&amp;TEXT(Settings!$B$4,"0%"),"")))</f>
        <v/>
      </c>
    </row>
    <row r="11" customFormat="false" ht="15" hidden="false" customHeight="false" outlineLevel="0" collapsed="false">
      <c r="A11" s="20" t="str">
        <f aca="false">IF($B11="","",4)</f>
        <v/>
      </c>
      <c r="B11" s="21"/>
      <c r="C11" s="22"/>
      <c r="D11" s="23" t="str">
        <f aca="false">IF($B11="","",$C11/1000)</f>
        <v/>
      </c>
      <c r="E11" s="24" t="str">
        <f aca="false">IF($B11="","",$D11*$C$4)</f>
        <v/>
      </c>
      <c r="F11" s="25" t="str">
        <f aca="false">IF($B11="","",IF($E11&lt;=0,"NEITHER — zero",IF($E11&gt;=Settings!$B$19,Settings!$B$6,IF($E11&gt;Settings!$B$14,"NEITHER — over bench capacity",IF($E11&gt;=2*Settings!$B$12,Settings!$B$11,"NEITHER — under bench resolution")))))</f>
        <v/>
      </c>
      <c r="G11" s="24" t="str">
        <f aca="false">IF($B11="","",IF($F11=Settings!$B$6,MAX(2*Settings!$B$7,Settings!$B$4*$E11),IF($F11=Settings!$B$11,MAX(2*Settings!$B$12,Settings!$B$4*$E11),"")))</f>
        <v/>
      </c>
      <c r="H11" s="26" t="str">
        <f aca="false">IF($B11="","",IF(LEFT($F11,7)="NEITHER","Cannot be weighed — split it, premix it, or raise the batch size",IF($G11&gt;Settings!$B$4*$E11+0.0001,"Held to the scale's resolution, not "&amp;TEXT(Settings!$B$4,"0%"),"")))</f>
        <v/>
      </c>
    </row>
    <row r="12" customFormat="false" ht="15" hidden="false" customHeight="false" outlineLevel="0" collapsed="false">
      <c r="A12" s="20" t="str">
        <f aca="false">IF($B12="","",5)</f>
        <v/>
      </c>
      <c r="B12" s="21"/>
      <c r="C12" s="22"/>
      <c r="D12" s="23" t="str">
        <f aca="false">IF($B12="","",$C12/1000)</f>
        <v/>
      </c>
      <c r="E12" s="24" t="str">
        <f aca="false">IF($B12="","",$D12*$C$4)</f>
        <v/>
      </c>
      <c r="F12" s="25" t="str">
        <f aca="false">IF($B12="","",IF($E12&lt;=0,"NEITHER — zero",IF($E12&gt;=Settings!$B$19,Settings!$B$6,IF($E12&gt;Settings!$B$14,"NEITHER — over bench capacity",IF($E12&gt;=2*Settings!$B$12,Settings!$B$11,"NEITHER — under bench resolution")))))</f>
        <v/>
      </c>
      <c r="G12" s="24" t="str">
        <f aca="false">IF($B12="","",IF($F12=Settings!$B$6,MAX(2*Settings!$B$7,Settings!$B$4*$E12),IF($F12=Settings!$B$11,MAX(2*Settings!$B$12,Settings!$B$4*$E12),"")))</f>
        <v/>
      </c>
      <c r="H12" s="26" t="str">
        <f aca="false">IF($B12="","",IF(LEFT($F12,7)="NEITHER","Cannot be weighed — split it, premix it, or raise the batch size",IF($G12&gt;Settings!$B$4*$E12+0.0001,"Held to the scale's resolution, not "&amp;TEXT(Settings!$B$4,"0%"),"")))</f>
        <v/>
      </c>
    </row>
    <row r="13" customFormat="false" ht="15" hidden="false" customHeight="false" outlineLevel="0" collapsed="false">
      <c r="A13" s="20" t="str">
        <f aca="false">IF($B13="","",6)</f>
        <v/>
      </c>
      <c r="B13" s="21"/>
      <c r="C13" s="22"/>
      <c r="D13" s="23" t="str">
        <f aca="false">IF($B13="","",$C13/1000)</f>
        <v/>
      </c>
      <c r="E13" s="24" t="str">
        <f aca="false">IF($B13="","",$D13*$C$4)</f>
        <v/>
      </c>
      <c r="F13" s="25" t="str">
        <f aca="false">IF($B13="","",IF($E13&lt;=0,"NEITHER — zero",IF($E13&gt;=Settings!$B$19,Settings!$B$6,IF($E13&gt;Settings!$B$14,"NEITHER — over bench capacity",IF($E13&gt;=2*Settings!$B$12,Settings!$B$11,"NEITHER — under bench resolution")))))</f>
        <v/>
      </c>
      <c r="G13" s="24" t="str">
        <f aca="false">IF($B13="","",IF($F13=Settings!$B$6,MAX(2*Settings!$B$7,Settings!$B$4*$E13),IF($F13=Settings!$B$11,MAX(2*Settings!$B$12,Settings!$B$4*$E13),"")))</f>
        <v/>
      </c>
      <c r="H13" s="26" t="str">
        <f aca="false">IF($B13="","",IF(LEFT($F13,7)="NEITHER","Cannot be weighed — split it, premix it, or raise the batch size",IF($G13&gt;Settings!$B$4*$E13+0.0001,"Held to the scale's resolution, not "&amp;TEXT(Settings!$B$4,"0%"),"")))</f>
        <v/>
      </c>
    </row>
    <row r="14" customFormat="false" ht="15" hidden="false" customHeight="false" outlineLevel="0" collapsed="false">
      <c r="A14" s="20" t="str">
        <f aca="false">IF($B14="","",7)</f>
        <v/>
      </c>
      <c r="B14" s="21"/>
      <c r="C14" s="22"/>
      <c r="D14" s="23" t="str">
        <f aca="false">IF($B14="","",$C14/1000)</f>
        <v/>
      </c>
      <c r="E14" s="24" t="str">
        <f aca="false">IF($B14="","",$D14*$C$4)</f>
        <v/>
      </c>
      <c r="F14" s="25" t="str">
        <f aca="false">IF($B14="","",IF($E14&lt;=0,"NEITHER — zero",IF($E14&gt;=Settings!$B$19,Settings!$B$6,IF($E14&gt;Settings!$B$14,"NEITHER — over bench capacity",IF($E14&gt;=2*Settings!$B$12,Settings!$B$11,"NEITHER — under bench resolution")))))</f>
        <v/>
      </c>
      <c r="G14" s="24" t="str">
        <f aca="false">IF($B14="","",IF($F14=Settings!$B$6,MAX(2*Settings!$B$7,Settings!$B$4*$E14),IF($F14=Settings!$B$11,MAX(2*Settings!$B$12,Settings!$B$4*$E14),"")))</f>
        <v/>
      </c>
      <c r="H14" s="26" t="str">
        <f aca="false">IF($B14="","",IF(LEFT($F14,7)="NEITHER","Cannot be weighed — split it, premix it, or raise the batch size",IF($G14&gt;Settings!$B$4*$E14+0.0001,"Held to the scale's resolution, not "&amp;TEXT(Settings!$B$4,"0%"),"")))</f>
        <v/>
      </c>
    </row>
    <row r="15" customFormat="false" ht="15" hidden="false" customHeight="false" outlineLevel="0" collapsed="false">
      <c r="A15" s="20" t="str">
        <f aca="false">IF($B15="","",8)</f>
        <v/>
      </c>
      <c r="B15" s="21"/>
      <c r="C15" s="22"/>
      <c r="D15" s="23" t="str">
        <f aca="false">IF($B15="","",$C15/1000)</f>
        <v/>
      </c>
      <c r="E15" s="24" t="str">
        <f aca="false">IF($B15="","",$D15*$C$4)</f>
        <v/>
      </c>
      <c r="F15" s="25" t="str">
        <f aca="false">IF($B15="","",IF($E15&lt;=0,"NEITHER — zero",IF($E15&gt;=Settings!$B$19,Settings!$B$6,IF($E15&gt;Settings!$B$14,"NEITHER — over bench capacity",IF($E15&gt;=2*Settings!$B$12,Settings!$B$11,"NEITHER — under bench resolution")))))</f>
        <v/>
      </c>
      <c r="G15" s="24" t="str">
        <f aca="false">IF($B15="","",IF($F15=Settings!$B$6,MAX(2*Settings!$B$7,Settings!$B$4*$E15),IF($F15=Settings!$B$11,MAX(2*Settings!$B$12,Settings!$B$4*$E15),"")))</f>
        <v/>
      </c>
      <c r="H15" s="26" t="str">
        <f aca="false">IF($B15="","",IF(LEFT($F15,7)="NEITHER","Cannot be weighed — split it, premix it, or raise the batch size",IF($G15&gt;Settings!$B$4*$E15+0.0001,"Held to the scale's resolution, not "&amp;TEXT(Settings!$B$4,"0%"),"")))</f>
        <v/>
      </c>
    </row>
    <row r="16" customFormat="false" ht="15" hidden="false" customHeight="false" outlineLevel="0" collapsed="false">
      <c r="A16" s="20" t="str">
        <f aca="false">IF($B16="","",9)</f>
        <v/>
      </c>
      <c r="B16" s="21"/>
      <c r="C16" s="22"/>
      <c r="D16" s="23" t="str">
        <f aca="false">IF($B16="","",$C16/1000)</f>
        <v/>
      </c>
      <c r="E16" s="24" t="str">
        <f aca="false">IF($B16="","",$D16*$C$4)</f>
        <v/>
      </c>
      <c r="F16" s="25" t="str">
        <f aca="false">IF($B16="","",IF($E16&lt;=0,"NEITHER — zero",IF($E16&gt;=Settings!$B$19,Settings!$B$6,IF($E16&gt;Settings!$B$14,"NEITHER — over bench capacity",IF($E16&gt;=2*Settings!$B$12,Settings!$B$11,"NEITHER — under bench resolution")))))</f>
        <v/>
      </c>
      <c r="G16" s="24" t="str">
        <f aca="false">IF($B16="","",IF($F16=Settings!$B$6,MAX(2*Settings!$B$7,Settings!$B$4*$E16),IF($F16=Settings!$B$11,MAX(2*Settings!$B$12,Settings!$B$4*$E16),"")))</f>
        <v/>
      </c>
      <c r="H16" s="26" t="str">
        <f aca="false">IF($B16="","",IF(LEFT($F16,7)="NEITHER","Cannot be weighed — split it, premix it, or raise the batch size",IF($G16&gt;Settings!$B$4*$E16+0.0001,"Held to the scale's resolution, not "&amp;TEXT(Settings!$B$4,"0%"),"")))</f>
        <v/>
      </c>
    </row>
    <row r="17" customFormat="false" ht="15" hidden="false" customHeight="false" outlineLevel="0" collapsed="false">
      <c r="A17" s="20" t="str">
        <f aca="false">IF($B17="","",10)</f>
        <v/>
      </c>
      <c r="B17" s="21"/>
      <c r="C17" s="22"/>
      <c r="D17" s="23" t="str">
        <f aca="false">IF($B17="","",$C17/1000)</f>
        <v/>
      </c>
      <c r="E17" s="24" t="str">
        <f aca="false">IF($B17="","",$D17*$C$4)</f>
        <v/>
      </c>
      <c r="F17" s="25" t="str">
        <f aca="false">IF($B17="","",IF($E17&lt;=0,"NEITHER — zero",IF($E17&gt;=Settings!$B$19,Settings!$B$6,IF($E17&gt;Settings!$B$14,"NEITHER — over bench capacity",IF($E17&gt;=2*Settings!$B$12,Settings!$B$11,"NEITHER — under bench resolution")))))</f>
        <v/>
      </c>
      <c r="G17" s="24" t="str">
        <f aca="false">IF($B17="","",IF($F17=Settings!$B$6,MAX(2*Settings!$B$7,Settings!$B$4*$E17),IF($F17=Settings!$B$11,MAX(2*Settings!$B$12,Settings!$B$4*$E17),"")))</f>
        <v/>
      </c>
      <c r="H17" s="26" t="str">
        <f aca="false">IF($B17="","",IF(LEFT($F17,7)="NEITHER","Cannot be weighed — split it, premix it, or raise the batch size",IF($G17&gt;Settings!$B$4*$E17+0.0001,"Held to the scale's resolution, not "&amp;TEXT(Settings!$B$4,"0%"),"")))</f>
        <v/>
      </c>
    </row>
    <row r="18" customFormat="false" ht="15" hidden="false" customHeight="false" outlineLevel="0" collapsed="false">
      <c r="A18" s="20" t="str">
        <f aca="false">IF($B18="","",11)</f>
        <v/>
      </c>
      <c r="B18" s="21"/>
      <c r="C18" s="22"/>
      <c r="D18" s="23" t="str">
        <f aca="false">IF($B18="","",$C18/1000)</f>
        <v/>
      </c>
      <c r="E18" s="24" t="str">
        <f aca="false">IF($B18="","",$D18*$C$4)</f>
        <v/>
      </c>
      <c r="F18" s="25" t="str">
        <f aca="false">IF($B18="","",IF($E18&lt;=0,"NEITHER — zero",IF($E18&gt;=Settings!$B$19,Settings!$B$6,IF($E18&gt;Settings!$B$14,"NEITHER — over bench capacity",IF($E18&gt;=2*Settings!$B$12,Settings!$B$11,"NEITHER — under bench resolution")))))</f>
        <v/>
      </c>
      <c r="G18" s="24" t="str">
        <f aca="false">IF($B18="","",IF($F18=Settings!$B$6,MAX(2*Settings!$B$7,Settings!$B$4*$E18),IF($F18=Settings!$B$11,MAX(2*Settings!$B$12,Settings!$B$4*$E18),"")))</f>
        <v/>
      </c>
      <c r="H18" s="26" t="str">
        <f aca="false">IF($B18="","",IF(LEFT($F18,7)="NEITHER","Cannot be weighed — split it, premix it, or raise the batch size",IF($G18&gt;Settings!$B$4*$E18+0.0001,"Held to the scale's resolution, not "&amp;TEXT(Settings!$B$4,"0%"),"")))</f>
        <v/>
      </c>
    </row>
    <row r="19" customFormat="false" ht="15" hidden="false" customHeight="false" outlineLevel="0" collapsed="false">
      <c r="A19" s="20" t="str">
        <f aca="false">IF($B19="","",12)</f>
        <v/>
      </c>
      <c r="B19" s="21"/>
      <c r="C19" s="22"/>
      <c r="D19" s="23" t="str">
        <f aca="false">IF($B19="","",$C19/1000)</f>
        <v/>
      </c>
      <c r="E19" s="24" t="str">
        <f aca="false">IF($B19="","",$D19*$C$4)</f>
        <v/>
      </c>
      <c r="F19" s="25" t="str">
        <f aca="false">IF($B19="","",IF($E19&lt;=0,"NEITHER — zero",IF($E19&gt;=Settings!$B$19,Settings!$B$6,IF($E19&gt;Settings!$B$14,"NEITHER — over bench capacity",IF($E19&gt;=2*Settings!$B$12,Settings!$B$11,"NEITHER — under bench resolution")))))</f>
        <v/>
      </c>
      <c r="G19" s="24" t="str">
        <f aca="false">IF($B19="","",IF($F19=Settings!$B$6,MAX(2*Settings!$B$7,Settings!$B$4*$E19),IF($F19=Settings!$B$11,MAX(2*Settings!$B$12,Settings!$B$4*$E19),"")))</f>
        <v/>
      </c>
      <c r="H19" s="26" t="str">
        <f aca="false">IF($B19="","",IF(LEFT($F19,7)="NEITHER","Cannot be weighed — split it, premix it, or raise the batch size",IF($G19&gt;Settings!$B$4*$E19+0.0001,"Held to the scale's resolution, not "&amp;TEXT(Settings!$B$4,"0%"),"")))</f>
        <v/>
      </c>
    </row>
    <row r="20" customFormat="false" ht="15" hidden="false" customHeight="false" outlineLevel="0" collapsed="false">
      <c r="A20" s="20" t="str">
        <f aca="false">IF($B20="","",13)</f>
        <v/>
      </c>
      <c r="B20" s="21"/>
      <c r="C20" s="22"/>
      <c r="D20" s="23" t="str">
        <f aca="false">IF($B20="","",$C20/1000)</f>
        <v/>
      </c>
      <c r="E20" s="24" t="str">
        <f aca="false">IF($B20="","",$D20*$C$4)</f>
        <v/>
      </c>
      <c r="F20" s="25" t="str">
        <f aca="false">IF($B20="","",IF($E20&lt;=0,"NEITHER — zero",IF($E20&gt;=Settings!$B$19,Settings!$B$6,IF($E20&gt;Settings!$B$14,"NEITHER — over bench capacity",IF($E20&gt;=2*Settings!$B$12,Settings!$B$11,"NEITHER — under bench resolution")))))</f>
        <v/>
      </c>
      <c r="G20" s="24" t="str">
        <f aca="false">IF($B20="","",IF($F20=Settings!$B$6,MAX(2*Settings!$B$7,Settings!$B$4*$E20),IF($F20=Settings!$B$11,MAX(2*Settings!$B$12,Settings!$B$4*$E20),"")))</f>
        <v/>
      </c>
      <c r="H20" s="26" t="str">
        <f aca="false">IF($B20="","",IF(LEFT($F20,7)="NEITHER","Cannot be weighed — split it, premix it, or raise the batch size",IF($G20&gt;Settings!$B$4*$E20+0.0001,"Held to the scale's resolution, not "&amp;TEXT(Settings!$B$4,"0%"),"")))</f>
        <v/>
      </c>
    </row>
    <row r="21" customFormat="false" ht="15" hidden="false" customHeight="false" outlineLevel="0" collapsed="false">
      <c r="A21" s="20" t="str">
        <f aca="false">IF($B21="","",14)</f>
        <v/>
      </c>
      <c r="B21" s="21"/>
      <c r="C21" s="22"/>
      <c r="D21" s="23" t="str">
        <f aca="false">IF($B21="","",$C21/1000)</f>
        <v/>
      </c>
      <c r="E21" s="24" t="str">
        <f aca="false">IF($B21="","",$D21*$C$4)</f>
        <v/>
      </c>
      <c r="F21" s="25" t="str">
        <f aca="false">IF($B21="","",IF($E21&lt;=0,"NEITHER — zero",IF($E21&gt;=Settings!$B$19,Settings!$B$6,IF($E21&gt;Settings!$B$14,"NEITHER — over bench capacity",IF($E21&gt;=2*Settings!$B$12,Settings!$B$11,"NEITHER — under bench resolution")))))</f>
        <v/>
      </c>
      <c r="G21" s="24" t="str">
        <f aca="false">IF($B21="","",IF($F21=Settings!$B$6,MAX(2*Settings!$B$7,Settings!$B$4*$E21),IF($F21=Settings!$B$11,MAX(2*Settings!$B$12,Settings!$B$4*$E21),"")))</f>
        <v/>
      </c>
      <c r="H21" s="26" t="str">
        <f aca="false">IF($B21="","",IF(LEFT($F21,7)="NEITHER","Cannot be weighed — split it, premix it, or raise the batch size",IF($G21&gt;Settings!$B$4*$E21+0.0001,"Held to the scale's resolution, not "&amp;TEXT(Settings!$B$4,"0%"),"")))</f>
        <v/>
      </c>
    </row>
    <row r="22" customFormat="false" ht="15" hidden="false" customHeight="false" outlineLevel="0" collapsed="false">
      <c r="A22" s="20" t="str">
        <f aca="false">IF($B22="","",15)</f>
        <v/>
      </c>
      <c r="B22" s="21"/>
      <c r="C22" s="22"/>
      <c r="D22" s="23" t="str">
        <f aca="false">IF($B22="","",$C22/1000)</f>
        <v/>
      </c>
      <c r="E22" s="24" t="str">
        <f aca="false">IF($B22="","",$D22*$C$4)</f>
        <v/>
      </c>
      <c r="F22" s="25" t="str">
        <f aca="false">IF($B22="","",IF($E22&lt;=0,"NEITHER — zero",IF($E22&gt;=Settings!$B$19,Settings!$B$6,IF($E22&gt;Settings!$B$14,"NEITHER — over bench capacity",IF($E22&gt;=2*Settings!$B$12,Settings!$B$11,"NEITHER — under bench resolution")))))</f>
        <v/>
      </c>
      <c r="G22" s="24" t="str">
        <f aca="false">IF($B22="","",IF($F22=Settings!$B$6,MAX(2*Settings!$B$7,Settings!$B$4*$E22),IF($F22=Settings!$B$11,MAX(2*Settings!$B$12,Settings!$B$4*$E22),"")))</f>
        <v/>
      </c>
      <c r="H22" s="26" t="str">
        <f aca="false">IF($B22="","",IF(LEFT($F22,7)="NEITHER","Cannot be weighed — split it, premix it, or raise the batch size",IF($G22&gt;Settings!$B$4*$E22+0.0001,"Held to the scale's resolution, not "&amp;TEXT(Settings!$B$4,"0%"),"")))</f>
        <v/>
      </c>
    </row>
    <row r="23" customFormat="false" ht="15" hidden="false" customHeight="false" outlineLevel="0" collapsed="false">
      <c r="A23" s="20" t="str">
        <f aca="false">IF($B23="","",16)</f>
        <v/>
      </c>
      <c r="B23" s="21"/>
      <c r="C23" s="22"/>
      <c r="D23" s="23" t="str">
        <f aca="false">IF($B23="","",$C23/1000)</f>
        <v/>
      </c>
      <c r="E23" s="24" t="str">
        <f aca="false">IF($B23="","",$D23*$C$4)</f>
        <v/>
      </c>
      <c r="F23" s="25" t="str">
        <f aca="false">IF($B23="","",IF($E23&lt;=0,"NEITHER — zero",IF($E23&gt;=Settings!$B$19,Settings!$B$6,IF($E23&gt;Settings!$B$14,"NEITHER — over bench capacity",IF($E23&gt;=2*Settings!$B$12,Settings!$B$11,"NEITHER — under bench resolution")))))</f>
        <v/>
      </c>
      <c r="G23" s="24" t="str">
        <f aca="false">IF($B23="","",IF($F23=Settings!$B$6,MAX(2*Settings!$B$7,Settings!$B$4*$E23),IF($F23=Settings!$B$11,MAX(2*Settings!$B$12,Settings!$B$4*$E23),"")))</f>
        <v/>
      </c>
      <c r="H23" s="26" t="str">
        <f aca="false">IF($B23="","",IF(LEFT($F23,7)="NEITHER","Cannot be weighed — split it, premix it, or raise the batch size",IF($G23&gt;Settings!$B$4*$E23+0.0001,"Held to the scale's resolution, not "&amp;TEXT(Settings!$B$4,"0%"),"")))</f>
        <v/>
      </c>
    </row>
    <row r="24" customFormat="false" ht="15" hidden="false" customHeight="false" outlineLevel="0" collapsed="false">
      <c r="A24" s="20" t="str">
        <f aca="false">IF($B24="","",17)</f>
        <v/>
      </c>
      <c r="B24" s="21"/>
      <c r="C24" s="22"/>
      <c r="D24" s="23" t="str">
        <f aca="false">IF($B24="","",$C24/1000)</f>
        <v/>
      </c>
      <c r="E24" s="24" t="str">
        <f aca="false">IF($B24="","",$D24*$C$4)</f>
        <v/>
      </c>
      <c r="F24" s="25" t="str">
        <f aca="false">IF($B24="","",IF($E24&lt;=0,"NEITHER — zero",IF($E24&gt;=Settings!$B$19,Settings!$B$6,IF($E24&gt;Settings!$B$14,"NEITHER — over bench capacity",IF($E24&gt;=2*Settings!$B$12,Settings!$B$11,"NEITHER — under bench resolution")))))</f>
        <v/>
      </c>
      <c r="G24" s="24" t="str">
        <f aca="false">IF($B24="","",IF($F24=Settings!$B$6,MAX(2*Settings!$B$7,Settings!$B$4*$E24),IF($F24=Settings!$B$11,MAX(2*Settings!$B$12,Settings!$B$4*$E24),"")))</f>
        <v/>
      </c>
      <c r="H24" s="26" t="str">
        <f aca="false">IF($B24="","",IF(LEFT($F24,7)="NEITHER","Cannot be weighed — split it, premix it, or raise the batch size",IF($G24&gt;Settings!$B$4*$E24+0.0001,"Held to the scale's resolution, not "&amp;TEXT(Settings!$B$4,"0%"),"")))</f>
        <v/>
      </c>
    </row>
    <row r="25" customFormat="false" ht="15" hidden="false" customHeight="false" outlineLevel="0" collapsed="false">
      <c r="A25" s="20" t="str">
        <f aca="false">IF($B25="","",18)</f>
        <v/>
      </c>
      <c r="B25" s="21"/>
      <c r="C25" s="22"/>
      <c r="D25" s="23" t="str">
        <f aca="false">IF($B25="","",$C25/1000)</f>
        <v/>
      </c>
      <c r="E25" s="24" t="str">
        <f aca="false">IF($B25="","",$D25*$C$4)</f>
        <v/>
      </c>
      <c r="F25" s="25" t="str">
        <f aca="false">IF($B25="","",IF($E25&lt;=0,"NEITHER — zero",IF($E25&gt;=Settings!$B$19,Settings!$B$6,IF($E25&gt;Settings!$B$14,"NEITHER — over bench capacity",IF($E25&gt;=2*Settings!$B$12,Settings!$B$11,"NEITHER — under bench resolution")))))</f>
        <v/>
      </c>
      <c r="G25" s="24" t="str">
        <f aca="false">IF($B25="","",IF($F25=Settings!$B$6,MAX(2*Settings!$B$7,Settings!$B$4*$E25),IF($F25=Settings!$B$11,MAX(2*Settings!$B$12,Settings!$B$4*$E25),"")))</f>
        <v/>
      </c>
      <c r="H25" s="26" t="str">
        <f aca="false">IF($B25="","",IF(LEFT($F25,7)="NEITHER","Cannot be weighed — split it, premix it, or raise the batch size",IF($G25&gt;Settings!$B$4*$E25+0.0001,"Held to the scale's resolution, not "&amp;TEXT(Settings!$B$4,"0%"),"")))</f>
        <v/>
      </c>
    </row>
    <row r="26" customFormat="false" ht="15" hidden="false" customHeight="false" outlineLevel="0" collapsed="false">
      <c r="A26" s="20" t="str">
        <f aca="false">IF($B26="","",19)</f>
        <v/>
      </c>
      <c r="B26" s="21"/>
      <c r="C26" s="22"/>
      <c r="D26" s="23" t="str">
        <f aca="false">IF($B26="","",$C26/1000)</f>
        <v/>
      </c>
      <c r="E26" s="24" t="str">
        <f aca="false">IF($B26="","",$D26*$C$4)</f>
        <v/>
      </c>
      <c r="F26" s="25" t="str">
        <f aca="false">IF($B26="","",IF($E26&lt;=0,"NEITHER — zero",IF($E26&gt;=Settings!$B$19,Settings!$B$6,IF($E26&gt;Settings!$B$14,"NEITHER — over bench capacity",IF($E26&gt;=2*Settings!$B$12,Settings!$B$11,"NEITHER — under bench resolution")))))</f>
        <v/>
      </c>
      <c r="G26" s="24" t="str">
        <f aca="false">IF($B26="","",IF($F26=Settings!$B$6,MAX(2*Settings!$B$7,Settings!$B$4*$E26),IF($F26=Settings!$B$11,MAX(2*Settings!$B$12,Settings!$B$4*$E26),"")))</f>
        <v/>
      </c>
      <c r="H26" s="26" t="str">
        <f aca="false">IF($B26="","",IF(LEFT($F26,7)="NEITHER","Cannot be weighed — split it, premix it, or raise the batch size",IF($G26&gt;Settings!$B$4*$E26+0.0001,"Held to the scale's resolution, not "&amp;TEXT(Settings!$B$4,"0%"),"")))</f>
        <v/>
      </c>
    </row>
    <row r="27" customFormat="false" ht="15" hidden="false" customHeight="false" outlineLevel="0" collapsed="false">
      <c r="A27" s="20" t="str">
        <f aca="false">IF($B27="","",20)</f>
        <v/>
      </c>
      <c r="B27" s="21"/>
      <c r="C27" s="22"/>
      <c r="D27" s="23" t="str">
        <f aca="false">IF($B27="","",$C27/1000)</f>
        <v/>
      </c>
      <c r="E27" s="24" t="str">
        <f aca="false">IF($B27="","",$D27*$C$4)</f>
        <v/>
      </c>
      <c r="F27" s="25" t="str">
        <f aca="false">IF($B27="","",IF($E27&lt;=0,"NEITHER — zero",IF($E27&gt;=Settings!$B$19,Settings!$B$6,IF($E27&gt;Settings!$B$14,"NEITHER — over bench capacity",IF($E27&gt;=2*Settings!$B$12,Settings!$B$11,"NEITHER — under bench resolution")))))</f>
        <v/>
      </c>
      <c r="G27" s="24" t="str">
        <f aca="false">IF($B27="","",IF($F27=Settings!$B$6,MAX(2*Settings!$B$7,Settings!$B$4*$E27),IF($F27=Settings!$B$11,MAX(2*Settings!$B$12,Settings!$B$4*$E27),"")))</f>
        <v/>
      </c>
      <c r="H27" s="26" t="str">
        <f aca="false">IF($B27="","",IF(LEFT($F27,7)="NEITHER","Cannot be weighed — split it, premix it, or raise the batch size",IF($G27&gt;Settings!$B$4*$E27+0.0001,"Held to the scale's resolution, not "&amp;TEXT(Settings!$B$4,"0%"),"")))</f>
        <v/>
      </c>
    </row>
    <row r="28" customFormat="false" ht="15" hidden="false" customHeight="false" outlineLevel="0" collapsed="false">
      <c r="A28" s="20" t="str">
        <f aca="false">IF($B28="","",21)</f>
        <v/>
      </c>
      <c r="B28" s="21"/>
      <c r="C28" s="22"/>
      <c r="D28" s="23" t="str">
        <f aca="false">IF($B28="","",$C28/1000)</f>
        <v/>
      </c>
      <c r="E28" s="24" t="str">
        <f aca="false">IF($B28="","",$D28*$C$4)</f>
        <v/>
      </c>
      <c r="F28" s="25" t="str">
        <f aca="false">IF($B28="","",IF($E28&lt;=0,"NEITHER — zero",IF($E28&gt;=Settings!$B$19,Settings!$B$6,IF($E28&gt;Settings!$B$14,"NEITHER — over bench capacity",IF($E28&gt;=2*Settings!$B$12,Settings!$B$11,"NEITHER — under bench resolution")))))</f>
        <v/>
      </c>
      <c r="G28" s="24" t="str">
        <f aca="false">IF($B28="","",IF($F28=Settings!$B$6,MAX(2*Settings!$B$7,Settings!$B$4*$E28),IF($F28=Settings!$B$11,MAX(2*Settings!$B$12,Settings!$B$4*$E28),"")))</f>
        <v/>
      </c>
      <c r="H28" s="26" t="str">
        <f aca="false">IF($B28="","",IF(LEFT($F28,7)="NEITHER","Cannot be weighed — split it, premix it, or raise the batch size",IF($G28&gt;Settings!$B$4*$E28+0.0001,"Held to the scale's resolution, not "&amp;TEXT(Settings!$B$4,"0%"),"")))</f>
        <v/>
      </c>
    </row>
    <row r="29" customFormat="false" ht="15" hidden="false" customHeight="false" outlineLevel="0" collapsed="false">
      <c r="A29" s="20" t="str">
        <f aca="false">IF($B29="","",22)</f>
        <v/>
      </c>
      <c r="B29" s="21"/>
      <c r="C29" s="22"/>
      <c r="D29" s="23" t="str">
        <f aca="false">IF($B29="","",$C29/1000)</f>
        <v/>
      </c>
      <c r="E29" s="24" t="str">
        <f aca="false">IF($B29="","",$D29*$C$4)</f>
        <v/>
      </c>
      <c r="F29" s="25" t="str">
        <f aca="false">IF($B29="","",IF($E29&lt;=0,"NEITHER — zero",IF($E29&gt;=Settings!$B$19,Settings!$B$6,IF($E29&gt;Settings!$B$14,"NEITHER — over bench capacity",IF($E29&gt;=2*Settings!$B$12,Settings!$B$11,"NEITHER — under bench resolution")))))</f>
        <v/>
      </c>
      <c r="G29" s="24" t="str">
        <f aca="false">IF($B29="","",IF($F29=Settings!$B$6,MAX(2*Settings!$B$7,Settings!$B$4*$E29),IF($F29=Settings!$B$11,MAX(2*Settings!$B$12,Settings!$B$4*$E29),"")))</f>
        <v/>
      </c>
      <c r="H29" s="26" t="str">
        <f aca="false">IF($B29="","",IF(LEFT($F29,7)="NEITHER","Cannot be weighed — split it, premix it, or raise the batch size",IF($G29&gt;Settings!$B$4*$E29+0.0001,"Held to the scale's resolution, not "&amp;TEXT(Settings!$B$4,"0%"),"")))</f>
        <v/>
      </c>
    </row>
    <row r="30" customFormat="false" ht="15" hidden="false" customHeight="false" outlineLevel="0" collapsed="false">
      <c r="A30" s="20" t="str">
        <f aca="false">IF($B30="","",23)</f>
        <v/>
      </c>
      <c r="B30" s="21"/>
      <c r="C30" s="22"/>
      <c r="D30" s="23" t="str">
        <f aca="false">IF($B30="","",$C30/1000)</f>
        <v/>
      </c>
      <c r="E30" s="24" t="str">
        <f aca="false">IF($B30="","",$D30*$C$4)</f>
        <v/>
      </c>
      <c r="F30" s="25" t="str">
        <f aca="false">IF($B30="","",IF($E30&lt;=0,"NEITHER — zero",IF($E30&gt;=Settings!$B$19,Settings!$B$6,IF($E30&gt;Settings!$B$14,"NEITHER — over bench capacity",IF($E30&gt;=2*Settings!$B$12,Settings!$B$11,"NEITHER — under bench resolution")))))</f>
        <v/>
      </c>
      <c r="G30" s="24" t="str">
        <f aca="false">IF($B30="","",IF($F30=Settings!$B$6,MAX(2*Settings!$B$7,Settings!$B$4*$E30),IF($F30=Settings!$B$11,MAX(2*Settings!$B$12,Settings!$B$4*$E30),"")))</f>
        <v/>
      </c>
      <c r="H30" s="26" t="str">
        <f aca="false">IF($B30="","",IF(LEFT($F30,7)="NEITHER","Cannot be weighed — split it, premix it, or raise the batch size",IF($G30&gt;Settings!$B$4*$E30+0.0001,"Held to the scale's resolution, not "&amp;TEXT(Settings!$B$4,"0%"),"")))</f>
        <v/>
      </c>
    </row>
    <row r="31" customFormat="false" ht="15" hidden="false" customHeight="false" outlineLevel="0" collapsed="false">
      <c r="A31" s="20" t="str">
        <f aca="false">IF($B31="","",24)</f>
        <v/>
      </c>
      <c r="B31" s="21"/>
      <c r="C31" s="22"/>
      <c r="D31" s="23" t="str">
        <f aca="false">IF($B31="","",$C31/1000)</f>
        <v/>
      </c>
      <c r="E31" s="24" t="str">
        <f aca="false">IF($B31="","",$D31*$C$4)</f>
        <v/>
      </c>
      <c r="F31" s="25" t="str">
        <f aca="false">IF($B31="","",IF($E31&lt;=0,"NEITHER — zero",IF($E31&gt;=Settings!$B$19,Settings!$B$6,IF($E31&gt;Settings!$B$14,"NEITHER — over bench capacity",IF($E31&gt;=2*Settings!$B$12,Settings!$B$11,"NEITHER — under bench resolution")))))</f>
        <v/>
      </c>
      <c r="G31" s="24" t="str">
        <f aca="false">IF($B31="","",IF($F31=Settings!$B$6,MAX(2*Settings!$B$7,Settings!$B$4*$E31),IF($F31=Settings!$B$11,MAX(2*Settings!$B$12,Settings!$B$4*$E31),"")))</f>
        <v/>
      </c>
      <c r="H31" s="26" t="str">
        <f aca="false">IF($B31="","",IF(LEFT($F31,7)="NEITHER","Cannot be weighed — split it, premix it, or raise the batch size",IF($G31&gt;Settings!$B$4*$E31+0.0001,"Held to the scale's resolution, not "&amp;TEXT(Settings!$B$4,"0%"),"")))</f>
        <v/>
      </c>
    </row>
    <row r="32" customFormat="false" ht="15" hidden="false" customHeight="false" outlineLevel="0" collapsed="false">
      <c r="A32" s="20" t="str">
        <f aca="false">IF($B32="","",25)</f>
        <v/>
      </c>
      <c r="B32" s="21"/>
      <c r="C32" s="22"/>
      <c r="D32" s="23" t="str">
        <f aca="false">IF($B32="","",$C32/1000)</f>
        <v/>
      </c>
      <c r="E32" s="24" t="str">
        <f aca="false">IF($B32="","",$D32*$C$4)</f>
        <v/>
      </c>
      <c r="F32" s="25" t="str">
        <f aca="false">IF($B32="","",IF($E32&lt;=0,"NEITHER — zero",IF($E32&gt;=Settings!$B$19,Settings!$B$6,IF($E32&gt;Settings!$B$14,"NEITHER — over bench capacity",IF($E32&gt;=2*Settings!$B$12,Settings!$B$11,"NEITHER — under bench resolution")))))</f>
        <v/>
      </c>
      <c r="G32" s="24" t="str">
        <f aca="false">IF($B32="","",IF($F32=Settings!$B$6,MAX(2*Settings!$B$7,Settings!$B$4*$E32),IF($F32=Settings!$B$11,MAX(2*Settings!$B$12,Settings!$B$4*$E32),"")))</f>
        <v/>
      </c>
      <c r="H32" s="26" t="str">
        <f aca="false">IF($B32="","",IF(LEFT($F32,7)="NEITHER","Cannot be weighed — split it, premix it, or raise the batch size",IF($G32&gt;Settings!$B$4*$E32+0.0001,"Held to the scale's resolution, not "&amp;TEXT(Settings!$B$4,"0%"),"")))</f>
        <v/>
      </c>
    </row>
    <row r="33" customFormat="false" ht="15" hidden="false" customHeight="false" outlineLevel="0" collapsed="false">
      <c r="A33" s="20" t="str">
        <f aca="false">IF($B33="","",26)</f>
        <v/>
      </c>
      <c r="B33" s="21"/>
      <c r="C33" s="22"/>
      <c r="D33" s="23" t="str">
        <f aca="false">IF($B33="","",$C33/1000)</f>
        <v/>
      </c>
      <c r="E33" s="24" t="str">
        <f aca="false">IF($B33="","",$D33*$C$4)</f>
        <v/>
      </c>
      <c r="F33" s="25" t="str">
        <f aca="false">IF($B33="","",IF($E33&lt;=0,"NEITHER — zero",IF($E33&gt;=Settings!$B$19,Settings!$B$6,IF($E33&gt;Settings!$B$14,"NEITHER — over bench capacity",IF($E33&gt;=2*Settings!$B$12,Settings!$B$11,"NEITHER — under bench resolution")))))</f>
        <v/>
      </c>
      <c r="G33" s="24" t="str">
        <f aca="false">IF($B33="","",IF($F33=Settings!$B$6,MAX(2*Settings!$B$7,Settings!$B$4*$E33),IF($F33=Settings!$B$11,MAX(2*Settings!$B$12,Settings!$B$4*$E33),"")))</f>
        <v/>
      </c>
      <c r="H33" s="26" t="str">
        <f aca="false">IF($B33="","",IF(LEFT($F33,7)="NEITHER","Cannot be weighed — split it, premix it, or raise the batch size",IF($G33&gt;Settings!$B$4*$E33+0.0001,"Held to the scale's resolution, not "&amp;TEXT(Settings!$B$4,"0%"),"")))</f>
        <v/>
      </c>
    </row>
    <row r="34" customFormat="false" ht="15" hidden="false" customHeight="false" outlineLevel="0" collapsed="false">
      <c r="A34" s="20" t="str">
        <f aca="false">IF($B34="","",27)</f>
        <v/>
      </c>
      <c r="B34" s="21"/>
      <c r="C34" s="22"/>
      <c r="D34" s="23" t="str">
        <f aca="false">IF($B34="","",$C34/1000)</f>
        <v/>
      </c>
      <c r="E34" s="24" t="str">
        <f aca="false">IF($B34="","",$D34*$C$4)</f>
        <v/>
      </c>
      <c r="F34" s="25" t="str">
        <f aca="false">IF($B34="","",IF($E34&lt;=0,"NEITHER — zero",IF($E34&gt;=Settings!$B$19,Settings!$B$6,IF($E34&gt;Settings!$B$14,"NEITHER — over bench capacity",IF($E34&gt;=2*Settings!$B$12,Settings!$B$11,"NEITHER — under bench resolution")))))</f>
        <v/>
      </c>
      <c r="G34" s="24" t="str">
        <f aca="false">IF($B34="","",IF($F34=Settings!$B$6,MAX(2*Settings!$B$7,Settings!$B$4*$E34),IF($F34=Settings!$B$11,MAX(2*Settings!$B$12,Settings!$B$4*$E34),"")))</f>
        <v/>
      </c>
      <c r="H34" s="26" t="str">
        <f aca="false">IF($B34="","",IF(LEFT($F34,7)="NEITHER","Cannot be weighed — split it, premix it, or raise the batch size",IF($G34&gt;Settings!$B$4*$E34+0.0001,"Held to the scale's resolution, not "&amp;TEXT(Settings!$B$4,"0%"),"")))</f>
        <v/>
      </c>
    </row>
    <row r="35" customFormat="false" ht="15" hidden="false" customHeight="false" outlineLevel="0" collapsed="false">
      <c r="A35" s="20" t="str">
        <f aca="false">IF($B35="","",28)</f>
        <v/>
      </c>
      <c r="B35" s="21"/>
      <c r="C35" s="22"/>
      <c r="D35" s="23" t="str">
        <f aca="false">IF($B35="","",$C35/1000)</f>
        <v/>
      </c>
      <c r="E35" s="24" t="str">
        <f aca="false">IF($B35="","",$D35*$C$4)</f>
        <v/>
      </c>
      <c r="F35" s="25" t="str">
        <f aca="false">IF($B35="","",IF($E35&lt;=0,"NEITHER — zero",IF($E35&gt;=Settings!$B$19,Settings!$B$6,IF($E35&gt;Settings!$B$14,"NEITHER — over bench capacity",IF($E35&gt;=2*Settings!$B$12,Settings!$B$11,"NEITHER — under bench resolution")))))</f>
        <v/>
      </c>
      <c r="G35" s="24" t="str">
        <f aca="false">IF($B35="","",IF($F35=Settings!$B$6,MAX(2*Settings!$B$7,Settings!$B$4*$E35),IF($F35=Settings!$B$11,MAX(2*Settings!$B$12,Settings!$B$4*$E35),"")))</f>
        <v/>
      </c>
      <c r="H35" s="26" t="str">
        <f aca="false">IF($B35="","",IF(LEFT($F35,7)="NEITHER","Cannot be weighed — split it, premix it, or raise the batch size",IF($G35&gt;Settings!$B$4*$E35+0.0001,"Held to the scale's resolution, not "&amp;TEXT(Settings!$B$4,"0%"),"")))</f>
        <v/>
      </c>
    </row>
    <row r="36" customFormat="false" ht="15" hidden="false" customHeight="false" outlineLevel="0" collapsed="false">
      <c r="A36" s="20" t="str">
        <f aca="false">IF($B36="","",29)</f>
        <v/>
      </c>
      <c r="B36" s="21"/>
      <c r="C36" s="22"/>
      <c r="D36" s="23" t="str">
        <f aca="false">IF($B36="","",$C36/1000)</f>
        <v/>
      </c>
      <c r="E36" s="24" t="str">
        <f aca="false">IF($B36="","",$D36*$C$4)</f>
        <v/>
      </c>
      <c r="F36" s="25" t="str">
        <f aca="false">IF($B36="","",IF($E36&lt;=0,"NEITHER — zero",IF($E36&gt;=Settings!$B$19,Settings!$B$6,IF($E36&gt;Settings!$B$14,"NEITHER — over bench capacity",IF($E36&gt;=2*Settings!$B$12,Settings!$B$11,"NEITHER — under bench resolution")))))</f>
        <v/>
      </c>
      <c r="G36" s="24" t="str">
        <f aca="false">IF($B36="","",IF($F36=Settings!$B$6,MAX(2*Settings!$B$7,Settings!$B$4*$E36),IF($F36=Settings!$B$11,MAX(2*Settings!$B$12,Settings!$B$4*$E36),"")))</f>
        <v/>
      </c>
      <c r="H36" s="26" t="str">
        <f aca="false">IF($B36="","",IF(LEFT($F36,7)="NEITHER","Cannot be weighed — split it, premix it, or raise the batch size",IF($G36&gt;Settings!$B$4*$E36+0.0001,"Held to the scale's resolution, not "&amp;TEXT(Settings!$B$4,"0%"),"")))</f>
        <v/>
      </c>
    </row>
    <row r="37" customFormat="false" ht="15" hidden="false" customHeight="false" outlineLevel="0" collapsed="false">
      <c r="A37" s="20" t="str">
        <f aca="false">IF($B37="","",30)</f>
        <v/>
      </c>
      <c r="B37" s="21"/>
      <c r="C37" s="22"/>
      <c r="D37" s="23" t="str">
        <f aca="false">IF($B37="","",$C37/1000)</f>
        <v/>
      </c>
      <c r="E37" s="24" t="str">
        <f aca="false">IF($B37="","",$D37*$C$4)</f>
        <v/>
      </c>
      <c r="F37" s="25" t="str">
        <f aca="false">IF($B37="","",IF($E37&lt;=0,"NEITHER — zero",IF($E37&gt;=Settings!$B$19,Settings!$B$6,IF($E37&gt;Settings!$B$14,"NEITHER — over bench capacity",IF($E37&gt;=2*Settings!$B$12,Settings!$B$11,"NEITHER — under bench resolution")))))</f>
        <v/>
      </c>
      <c r="G37" s="24" t="str">
        <f aca="false">IF($B37="","",IF($F37=Settings!$B$6,MAX(2*Settings!$B$7,Settings!$B$4*$E37),IF($F37=Settings!$B$11,MAX(2*Settings!$B$12,Settings!$B$4*$E37),"")))</f>
        <v/>
      </c>
      <c r="H37" s="26" t="str">
        <f aca="false">IF($B37="","",IF(LEFT($F37,7)="NEITHER","Cannot be weighed — split it, premix it, or raise the batch size",IF($G37&gt;Settings!$B$4*$E37+0.0001,"Held to the scale's resolution, not "&amp;TEXT(Settings!$B$4,"0%"),"")))</f>
        <v/>
      </c>
    </row>
    <row r="38" customFormat="false" ht="15" hidden="false" customHeight="false" outlineLevel="0" collapsed="false">
      <c r="A38" s="20" t="str">
        <f aca="false">IF($B38="","",31)</f>
        <v/>
      </c>
      <c r="B38" s="21"/>
      <c r="C38" s="22"/>
      <c r="D38" s="23" t="str">
        <f aca="false">IF($B38="","",$C38/1000)</f>
        <v/>
      </c>
      <c r="E38" s="24" t="str">
        <f aca="false">IF($B38="","",$D38*$C$4)</f>
        <v/>
      </c>
      <c r="F38" s="25" t="str">
        <f aca="false">IF($B38="","",IF($E38&lt;=0,"NEITHER — zero",IF($E38&gt;=Settings!$B$19,Settings!$B$6,IF($E38&gt;Settings!$B$14,"NEITHER — over bench capacity",IF($E38&gt;=2*Settings!$B$12,Settings!$B$11,"NEITHER — under bench resolution")))))</f>
        <v/>
      </c>
      <c r="G38" s="24" t="str">
        <f aca="false">IF($B38="","",IF($F38=Settings!$B$6,MAX(2*Settings!$B$7,Settings!$B$4*$E38),IF($F38=Settings!$B$11,MAX(2*Settings!$B$12,Settings!$B$4*$E38),"")))</f>
        <v/>
      </c>
      <c r="H38" s="26" t="str">
        <f aca="false">IF($B38="","",IF(LEFT($F38,7)="NEITHER","Cannot be weighed — split it, premix it, or raise the batch size",IF($G38&gt;Settings!$B$4*$E38+0.0001,"Held to the scale's resolution, not "&amp;TEXT(Settings!$B$4,"0%"),"")))</f>
        <v/>
      </c>
    </row>
    <row r="39" customFormat="false" ht="15" hidden="false" customHeight="false" outlineLevel="0" collapsed="false">
      <c r="A39" s="20" t="str">
        <f aca="false">IF($B39="","",32)</f>
        <v/>
      </c>
      <c r="B39" s="21"/>
      <c r="C39" s="22"/>
      <c r="D39" s="23" t="str">
        <f aca="false">IF($B39="","",$C39/1000)</f>
        <v/>
      </c>
      <c r="E39" s="24" t="str">
        <f aca="false">IF($B39="","",$D39*$C$4)</f>
        <v/>
      </c>
      <c r="F39" s="25" t="str">
        <f aca="false">IF($B39="","",IF($E39&lt;=0,"NEITHER — zero",IF($E39&gt;=Settings!$B$19,Settings!$B$6,IF($E39&gt;Settings!$B$14,"NEITHER — over bench capacity",IF($E39&gt;=2*Settings!$B$12,Settings!$B$11,"NEITHER — under bench resolution")))))</f>
        <v/>
      </c>
      <c r="G39" s="24" t="str">
        <f aca="false">IF($B39="","",IF($F39=Settings!$B$6,MAX(2*Settings!$B$7,Settings!$B$4*$E39),IF($F39=Settings!$B$11,MAX(2*Settings!$B$12,Settings!$B$4*$E39),"")))</f>
        <v/>
      </c>
      <c r="H39" s="26" t="str">
        <f aca="false">IF($B39="","",IF(LEFT($F39,7)="NEITHER","Cannot be weighed — split it, premix it, or raise the batch size",IF($G39&gt;Settings!$B$4*$E39+0.0001,"Held to the scale's resolution, not "&amp;TEXT(Settings!$B$4,"0%"),"")))</f>
        <v/>
      </c>
    </row>
    <row r="40" customFormat="false" ht="15" hidden="false" customHeight="false" outlineLevel="0" collapsed="false">
      <c r="A40" s="20" t="str">
        <f aca="false">IF($B40="","",33)</f>
        <v/>
      </c>
      <c r="B40" s="21"/>
      <c r="C40" s="22"/>
      <c r="D40" s="23" t="str">
        <f aca="false">IF($B40="","",$C40/1000)</f>
        <v/>
      </c>
      <c r="E40" s="24" t="str">
        <f aca="false">IF($B40="","",$D40*$C$4)</f>
        <v/>
      </c>
      <c r="F40" s="25" t="str">
        <f aca="false">IF($B40="","",IF($E40&lt;=0,"NEITHER — zero",IF($E40&gt;=Settings!$B$19,Settings!$B$6,IF($E40&gt;Settings!$B$14,"NEITHER — over bench capacity",IF($E40&gt;=2*Settings!$B$12,Settings!$B$11,"NEITHER — under bench resolution")))))</f>
        <v/>
      </c>
      <c r="G40" s="24" t="str">
        <f aca="false">IF($B40="","",IF($F40=Settings!$B$6,MAX(2*Settings!$B$7,Settings!$B$4*$E40),IF($F40=Settings!$B$11,MAX(2*Settings!$B$12,Settings!$B$4*$E40),"")))</f>
        <v/>
      </c>
      <c r="H40" s="26" t="str">
        <f aca="false">IF($B40="","",IF(LEFT($F40,7)="NEITHER","Cannot be weighed — split it, premix it, or raise the batch size",IF($G40&gt;Settings!$B$4*$E40+0.0001,"Held to the scale's resolution, not "&amp;TEXT(Settings!$B$4,"0%"),"")))</f>
        <v/>
      </c>
    </row>
    <row r="41" customFormat="false" ht="15" hidden="false" customHeight="false" outlineLevel="0" collapsed="false">
      <c r="A41" s="20" t="str">
        <f aca="false">IF($B41="","",34)</f>
        <v/>
      </c>
      <c r="B41" s="21"/>
      <c r="C41" s="22"/>
      <c r="D41" s="23" t="str">
        <f aca="false">IF($B41="","",$C41/1000)</f>
        <v/>
      </c>
      <c r="E41" s="24" t="str">
        <f aca="false">IF($B41="","",$D41*$C$4)</f>
        <v/>
      </c>
      <c r="F41" s="25" t="str">
        <f aca="false">IF($B41="","",IF($E41&lt;=0,"NEITHER — zero",IF($E41&gt;=Settings!$B$19,Settings!$B$6,IF($E41&gt;Settings!$B$14,"NEITHER — over bench capacity",IF($E41&gt;=2*Settings!$B$12,Settings!$B$11,"NEITHER — under bench resolution")))))</f>
        <v/>
      </c>
      <c r="G41" s="24" t="str">
        <f aca="false">IF($B41="","",IF($F41=Settings!$B$6,MAX(2*Settings!$B$7,Settings!$B$4*$E41),IF($F41=Settings!$B$11,MAX(2*Settings!$B$12,Settings!$B$4*$E41),"")))</f>
        <v/>
      </c>
      <c r="H41" s="26" t="str">
        <f aca="false">IF($B41="","",IF(LEFT($F41,7)="NEITHER","Cannot be weighed — split it, premix it, or raise the batch size",IF($G41&gt;Settings!$B$4*$E41+0.0001,"Held to the scale's resolution, not "&amp;TEXT(Settings!$B$4,"0%"),"")))</f>
        <v/>
      </c>
    </row>
    <row r="42" customFormat="false" ht="15" hidden="false" customHeight="false" outlineLevel="0" collapsed="false">
      <c r="A42" s="20" t="str">
        <f aca="false">IF($B42="","",35)</f>
        <v/>
      </c>
      <c r="B42" s="21"/>
      <c r="C42" s="22"/>
      <c r="D42" s="23" t="str">
        <f aca="false">IF($B42="","",$C42/1000)</f>
        <v/>
      </c>
      <c r="E42" s="24" t="str">
        <f aca="false">IF($B42="","",$D42*$C$4)</f>
        <v/>
      </c>
      <c r="F42" s="25" t="str">
        <f aca="false">IF($B42="","",IF($E42&lt;=0,"NEITHER — zero",IF($E42&gt;=Settings!$B$19,Settings!$B$6,IF($E42&gt;Settings!$B$14,"NEITHER — over bench capacity",IF($E42&gt;=2*Settings!$B$12,Settings!$B$11,"NEITHER — under bench resolution")))))</f>
        <v/>
      </c>
      <c r="G42" s="24" t="str">
        <f aca="false">IF($B42="","",IF($F42=Settings!$B$6,MAX(2*Settings!$B$7,Settings!$B$4*$E42),IF($F42=Settings!$B$11,MAX(2*Settings!$B$12,Settings!$B$4*$E42),"")))</f>
        <v/>
      </c>
      <c r="H42" s="26" t="str">
        <f aca="false">IF($B42="","",IF(LEFT($F42,7)="NEITHER","Cannot be weighed — split it, premix it, or raise the batch size",IF($G42&gt;Settings!$B$4*$E42+0.0001,"Held to the scale's resolution, not "&amp;TEXT(Settings!$B$4,"0%"),"")))</f>
        <v/>
      </c>
    </row>
    <row r="43" customFormat="false" ht="15" hidden="false" customHeight="false" outlineLevel="0" collapsed="false">
      <c r="A43" s="20" t="str">
        <f aca="false">IF($B43="","",36)</f>
        <v/>
      </c>
      <c r="B43" s="21"/>
      <c r="C43" s="22"/>
      <c r="D43" s="23" t="str">
        <f aca="false">IF($B43="","",$C43/1000)</f>
        <v/>
      </c>
      <c r="E43" s="24" t="str">
        <f aca="false">IF($B43="","",$D43*$C$4)</f>
        <v/>
      </c>
      <c r="F43" s="25" t="str">
        <f aca="false">IF($B43="","",IF($E43&lt;=0,"NEITHER — zero",IF($E43&gt;=Settings!$B$19,Settings!$B$6,IF($E43&gt;Settings!$B$14,"NEITHER — over bench capacity",IF($E43&gt;=2*Settings!$B$12,Settings!$B$11,"NEITHER — under bench resolution")))))</f>
        <v/>
      </c>
      <c r="G43" s="24" t="str">
        <f aca="false">IF($B43="","",IF($F43=Settings!$B$6,MAX(2*Settings!$B$7,Settings!$B$4*$E43),IF($F43=Settings!$B$11,MAX(2*Settings!$B$12,Settings!$B$4*$E43),"")))</f>
        <v/>
      </c>
      <c r="H43" s="26" t="str">
        <f aca="false">IF($B43="","",IF(LEFT($F43,7)="NEITHER","Cannot be weighed — split it, premix it, or raise the batch size",IF($G43&gt;Settings!$B$4*$E43+0.0001,"Held to the scale's resolution, not "&amp;TEXT(Settings!$B$4,"0%"),"")))</f>
        <v/>
      </c>
    </row>
    <row r="44" customFormat="false" ht="15" hidden="false" customHeight="false" outlineLevel="0" collapsed="false">
      <c r="A44" s="20" t="str">
        <f aca="false">IF($B44="","",37)</f>
        <v/>
      </c>
      <c r="B44" s="21"/>
      <c r="C44" s="22"/>
      <c r="D44" s="23" t="str">
        <f aca="false">IF($B44="","",$C44/1000)</f>
        <v/>
      </c>
      <c r="E44" s="24" t="str">
        <f aca="false">IF($B44="","",$D44*$C$4)</f>
        <v/>
      </c>
      <c r="F44" s="25" t="str">
        <f aca="false">IF($B44="","",IF($E44&lt;=0,"NEITHER — zero",IF($E44&gt;=Settings!$B$19,Settings!$B$6,IF($E44&gt;Settings!$B$14,"NEITHER — over bench capacity",IF($E44&gt;=2*Settings!$B$12,Settings!$B$11,"NEITHER — under bench resolution")))))</f>
        <v/>
      </c>
      <c r="G44" s="24" t="str">
        <f aca="false">IF($B44="","",IF($F44=Settings!$B$6,MAX(2*Settings!$B$7,Settings!$B$4*$E44),IF($F44=Settings!$B$11,MAX(2*Settings!$B$12,Settings!$B$4*$E44),"")))</f>
        <v/>
      </c>
      <c r="H44" s="26" t="str">
        <f aca="false">IF($B44="","",IF(LEFT($F44,7)="NEITHER","Cannot be weighed — split it, premix it, or raise the batch size",IF($G44&gt;Settings!$B$4*$E44+0.0001,"Held to the scale's resolution, not "&amp;TEXT(Settings!$B$4,"0%"),"")))</f>
        <v/>
      </c>
    </row>
    <row r="45" customFormat="false" ht="15" hidden="false" customHeight="false" outlineLevel="0" collapsed="false">
      <c r="A45" s="20" t="str">
        <f aca="false">IF($B45="","",38)</f>
        <v/>
      </c>
      <c r="B45" s="21"/>
      <c r="C45" s="22"/>
      <c r="D45" s="23" t="str">
        <f aca="false">IF($B45="","",$C45/1000)</f>
        <v/>
      </c>
      <c r="E45" s="24" t="str">
        <f aca="false">IF($B45="","",$D45*$C$4)</f>
        <v/>
      </c>
      <c r="F45" s="25" t="str">
        <f aca="false">IF($B45="","",IF($E45&lt;=0,"NEITHER — zero",IF($E45&gt;=Settings!$B$19,Settings!$B$6,IF($E45&gt;Settings!$B$14,"NEITHER — over bench capacity",IF($E45&gt;=2*Settings!$B$12,Settings!$B$11,"NEITHER — under bench resolution")))))</f>
        <v/>
      </c>
      <c r="G45" s="24" t="str">
        <f aca="false">IF($B45="","",IF($F45=Settings!$B$6,MAX(2*Settings!$B$7,Settings!$B$4*$E45),IF($F45=Settings!$B$11,MAX(2*Settings!$B$12,Settings!$B$4*$E45),"")))</f>
        <v/>
      </c>
      <c r="H45" s="26" t="str">
        <f aca="false">IF($B45="","",IF(LEFT($F45,7)="NEITHER","Cannot be weighed — split it, premix it, or raise the batch size",IF($G45&gt;Settings!$B$4*$E45+0.0001,"Held to the scale's resolution, not "&amp;TEXT(Settings!$B$4,"0%"),"")))</f>
        <v/>
      </c>
    </row>
    <row r="46" customFormat="false" ht="15" hidden="false" customHeight="false" outlineLevel="0" collapsed="false">
      <c r="A46" s="20" t="str">
        <f aca="false">IF($B46="","",39)</f>
        <v/>
      </c>
      <c r="B46" s="21"/>
      <c r="C46" s="22"/>
      <c r="D46" s="23" t="str">
        <f aca="false">IF($B46="","",$C46/1000)</f>
        <v/>
      </c>
      <c r="E46" s="24" t="str">
        <f aca="false">IF($B46="","",$D46*$C$4)</f>
        <v/>
      </c>
      <c r="F46" s="25" t="str">
        <f aca="false">IF($B46="","",IF($E46&lt;=0,"NEITHER — zero",IF($E46&gt;=Settings!$B$19,Settings!$B$6,IF($E46&gt;Settings!$B$14,"NEITHER — over bench capacity",IF($E46&gt;=2*Settings!$B$12,Settings!$B$11,"NEITHER — under bench resolution")))))</f>
        <v/>
      </c>
      <c r="G46" s="24" t="str">
        <f aca="false">IF($B46="","",IF($F46=Settings!$B$6,MAX(2*Settings!$B$7,Settings!$B$4*$E46),IF($F46=Settings!$B$11,MAX(2*Settings!$B$12,Settings!$B$4*$E46),"")))</f>
        <v/>
      </c>
      <c r="H46" s="26" t="str">
        <f aca="false">IF($B46="","",IF(LEFT($F46,7)="NEITHER","Cannot be weighed — split it, premix it, or raise the batch size",IF($G46&gt;Settings!$B$4*$E46+0.0001,"Held to the scale's resolution, not "&amp;TEXT(Settings!$B$4,"0%"),"")))</f>
        <v/>
      </c>
    </row>
    <row r="47" customFormat="false" ht="15" hidden="false" customHeight="false" outlineLevel="0" collapsed="false">
      <c r="A47" s="20" t="str">
        <f aca="false">IF($B47="","",40)</f>
        <v/>
      </c>
      <c r="B47" s="21"/>
      <c r="C47" s="22"/>
      <c r="D47" s="23" t="str">
        <f aca="false">IF($B47="","",$C47/1000)</f>
        <v/>
      </c>
      <c r="E47" s="24" t="str">
        <f aca="false">IF($B47="","",$D47*$C$4)</f>
        <v/>
      </c>
      <c r="F47" s="25" t="str">
        <f aca="false">IF($B47="","",IF($E47&lt;=0,"NEITHER — zero",IF($E47&gt;=Settings!$B$19,Settings!$B$6,IF($E47&gt;Settings!$B$14,"NEITHER — over bench capacity",IF($E47&gt;=2*Settings!$B$12,Settings!$B$11,"NEITHER — under bench resolution")))))</f>
        <v/>
      </c>
      <c r="G47" s="24" t="str">
        <f aca="false">IF($B47="","",IF($F47=Settings!$B$6,MAX(2*Settings!$B$7,Settings!$B$4*$E47),IF($F47=Settings!$B$11,MAX(2*Settings!$B$12,Settings!$B$4*$E47),"")))</f>
        <v/>
      </c>
      <c r="H47" s="26" t="str">
        <f aca="false">IF($B47="","",IF(LEFT($F47,7)="NEITHER","Cannot be weighed — split it, premix it, or raise the batch size",IF($G47&gt;Settings!$B$4*$E47+0.0001,"Held to the scale's resolution, not "&amp;TEXT(Settings!$B$4,"0%"),"")))</f>
        <v/>
      </c>
    </row>
    <row r="49" customFormat="false" ht="15" hidden="false" customHeight="false" outlineLevel="0" collapsed="false">
      <c r="B49" s="27" t="s">
        <v>77</v>
      </c>
      <c r="C49" s="28" t="n">
        <f aca="false">SUM(C8:C47)</f>
        <v>7.5</v>
      </c>
      <c r="D49" s="29" t="n">
        <f aca="false">SUM(D8:D47)</f>
        <v>0.0075</v>
      </c>
      <c r="E49" s="28" t="n">
        <f aca="false">SUM(E8:E47)</f>
        <v>24</v>
      </c>
    </row>
    <row r="50" customFormat="false" ht="15" hidden="false" customHeight="false" outlineLevel="0" collapsed="false">
      <c r="B50" s="5" t="s">
        <v>78</v>
      </c>
      <c r="E50" s="30" t="n">
        <f aca="false">$C$4+E49</f>
        <v>3224</v>
      </c>
    </row>
    <row r="52" customFormat="false" ht="15" hidden="false" customHeight="false" outlineLevel="0" collapsed="false">
      <c r="B52" s="15" t="str">
        <f aca="false">IF(COUNTIF($F$8:$F$47,"NEITHER*")=0,"All ingredients can be weighed.","WARNING: "&amp;COUNTIF($F$8:$F$47,"NEITHER*")&amp;" ingredient(s) cannot be weighed on either scale — see the Note column.")</f>
        <v>All ingredients can be weighed.</v>
      </c>
      <c r="C52" s="15"/>
      <c r="D52" s="15"/>
      <c r="E52" s="15"/>
      <c r="F52" s="15"/>
      <c r="G52" s="15"/>
      <c r="H52" s="15"/>
    </row>
  </sheetData>
  <mergeCells count="11">
    <mergeCell ref="A1:H1"/>
    <mergeCell ref="A2:H2"/>
    <mergeCell ref="A4:B4"/>
    <mergeCell ref="D4:H4"/>
    <mergeCell ref="A5:B5"/>
    <mergeCell ref="D5:E5"/>
    <mergeCell ref="F5:H5"/>
    <mergeCell ref="A6:B6"/>
    <mergeCell ref="D6:E6"/>
    <mergeCell ref="F6:H6"/>
    <mergeCell ref="B52:H52"/>
  </mergeCells>
  <conditionalFormatting sqref="B52:H52">
    <cfRule type="expression" priority="2" aboveAverage="0" equalAverage="0" bottom="0" percent="0" rank="0" text="" dxfId="0">
      <formula>LEFT($B$52,5)="ERROR"</formula>
    </cfRule>
  </conditionalFormatting>
  <conditionalFormatting sqref="A8:H47">
    <cfRule type="expression" priority="3" aboveAverage="0" equalAverage="0" bottom="0" percent="0" rank="0" text="" dxfId="1">
      <formula>LEFT($F8,7)="NEITHER"</formula>
    </cfRule>
    <cfRule type="expression" priority="4" aboveAverage="0" equalAverage="0" bottom="0" percent="0" rank="0" text="" dxfId="2">
      <formula>AND($B8&lt;&gt;"",$H8&lt;&gt;"")</formula>
    </cfRule>
  </conditionalFormatting>
  <dataValidations count="1">
    <dataValidation allowBlank="true" errorStyle="stop" operator="between" showDropDown="false" showErrorMessage="false" showInputMessage="false" sqref="B8:B47" type="list">
      <formula1>IngredientList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45</v>
      </c>
      <c r="B4" s="16"/>
      <c r="C4" s="17" t="n">
        <v>3200</v>
      </c>
      <c r="D4" s="2" t="s">
        <v>46</v>
      </c>
      <c r="E4" s="2"/>
      <c r="F4" s="2"/>
      <c r="G4" s="2"/>
      <c r="H4" s="2"/>
    </row>
    <row r="5" customFormat="false" ht="15" hidden="false" customHeight="false" outlineLevel="0" collapsed="false">
      <c r="A5" s="16" t="s">
        <v>47</v>
      </c>
      <c r="B5" s="16"/>
      <c r="C5" s="8" t="s">
        <v>89</v>
      </c>
      <c r="D5" s="16" t="s">
        <v>49</v>
      </c>
      <c r="E5" s="16"/>
      <c r="F5" s="18" t="s">
        <v>50</v>
      </c>
      <c r="G5" s="18"/>
      <c r="H5" s="18"/>
    </row>
    <row r="6" customFormat="false" ht="15" hidden="false" customHeight="false" outlineLevel="0" collapsed="false">
      <c r="A6" s="16" t="s">
        <v>51</v>
      </c>
      <c r="B6" s="16"/>
      <c r="C6" s="8" t="s">
        <v>81</v>
      </c>
      <c r="D6" s="16" t="s">
        <v>52</v>
      </c>
      <c r="E6" s="16"/>
      <c r="F6" s="18" t="s">
        <v>82</v>
      </c>
      <c r="G6" s="18"/>
      <c r="H6" s="18"/>
    </row>
    <row r="7" customFormat="false" ht="23.85" hidden="false" customHeight="false" outlineLevel="0" collapsed="false">
      <c r="A7" s="19" t="s">
        <v>53</v>
      </c>
      <c r="B7" s="19" t="s">
        <v>54</v>
      </c>
      <c r="C7" s="19" t="s">
        <v>55</v>
      </c>
      <c r="D7" s="19" t="s">
        <v>56</v>
      </c>
      <c r="E7" s="19" t="s">
        <v>57</v>
      </c>
      <c r="F7" s="19" t="s">
        <v>58</v>
      </c>
      <c r="G7" s="19" t="s">
        <v>59</v>
      </c>
      <c r="H7" s="19" t="s">
        <v>60</v>
      </c>
    </row>
    <row r="8" customFormat="false" ht="15" hidden="false" customHeight="false" outlineLevel="0" collapsed="false">
      <c r="A8" s="20" t="n">
        <f aca="false">IF($B8="","",1)</f>
        <v>1</v>
      </c>
      <c r="B8" s="31" t="s">
        <v>83</v>
      </c>
      <c r="C8" s="32" t="n">
        <v>7.5</v>
      </c>
      <c r="D8" s="23" t="n">
        <f aca="false">IF($B8="","",$C8/1000)</f>
        <v>0.0075</v>
      </c>
      <c r="E8" s="24" t="n">
        <f aca="false">IF($B8="","",$D8*$C$4)</f>
        <v>24</v>
      </c>
      <c r="F8" s="25" t="str">
        <f aca="false">IF($B8="","",IF($E8&lt;=0,"NEITHER — zero",IF($E8&gt;=Settings!$B$19,Settings!$B$6,IF($E8&gt;Settings!$B$14,"NEITHER — over bench capacity",IF($E8&gt;=2*Settings!$B$12,Settings!$B$11,"NEITHER — under bench resolution")))))</f>
        <v>Bench scale</v>
      </c>
      <c r="G8" s="24" t="n">
        <f aca="false">IF($B8="","",IF($F8=Settings!$B$6,MAX(2*Settings!$B$7,Settings!$B$4*$E8),IF($F8=Settings!$B$11,MAX(2*Settings!$B$12,Settings!$B$4*$E8),"")))</f>
        <v>0.48</v>
      </c>
      <c r="H8" s="33" t="str">
        <f aca="false">IF($B8="","",IF(LEFT($F8,7)="NEITHER","Cannot be weighed — split it, premix it, or raise the batch size",IF($G8&gt;Settings!$B$4*$E8+0.0001,"Held to the scale's resolution, not "&amp;TEXT(Settings!$B$4,"0%"),"")))</f>
        <v/>
      </c>
    </row>
    <row r="9" customFormat="false" ht="15" hidden="false" customHeight="false" outlineLevel="0" collapsed="false">
      <c r="A9" s="20" t="str">
        <f aca="false">IF($B9="","",2)</f>
        <v/>
      </c>
      <c r="B9" s="21"/>
      <c r="C9" s="22"/>
      <c r="D9" s="23" t="str">
        <f aca="false">IF($B9="","",$C9/1000)</f>
        <v/>
      </c>
      <c r="E9" s="24" t="str">
        <f aca="false">IF($B9="","",$D9*$C$4)</f>
        <v/>
      </c>
      <c r="F9" s="25" t="str">
        <f aca="false">IF($B9="","",IF($E9&lt;=0,"NEITHER — zero",IF($E9&gt;=Settings!$B$19,Settings!$B$6,IF($E9&gt;Settings!$B$14,"NEITHER — over bench capacity",IF($E9&gt;=2*Settings!$B$12,Settings!$B$11,"NEITHER — under bench resolution")))))</f>
        <v/>
      </c>
      <c r="G9" s="24" t="str">
        <f aca="false">IF($B9="","",IF($F9=Settings!$B$6,MAX(2*Settings!$B$7,Settings!$B$4*$E9),IF($F9=Settings!$B$11,MAX(2*Settings!$B$12,Settings!$B$4*$E9),"")))</f>
        <v/>
      </c>
      <c r="H9" s="26" t="str">
        <f aca="false">IF($B9="","",IF(LEFT($F9,7)="NEITHER","Cannot be weighed — split it, premix it, or raise the batch size",IF($G9&gt;Settings!$B$4*$E9+0.0001,"Held to the scale's resolution, not "&amp;TEXT(Settings!$B$4,"0%"),"")))</f>
        <v/>
      </c>
    </row>
    <row r="10" customFormat="false" ht="15" hidden="false" customHeight="false" outlineLevel="0" collapsed="false">
      <c r="A10" s="20" t="str">
        <f aca="false">IF($B10="","",3)</f>
        <v/>
      </c>
      <c r="B10" s="21"/>
      <c r="C10" s="22"/>
      <c r="D10" s="23" t="str">
        <f aca="false">IF($B10="","",$C10/1000)</f>
        <v/>
      </c>
      <c r="E10" s="24" t="str">
        <f aca="false">IF($B10="","",$D10*$C$4)</f>
        <v/>
      </c>
      <c r="F10" s="25" t="str">
        <f aca="false">IF($B10="","",IF($E10&lt;=0,"NEITHER — zero",IF($E10&gt;=Settings!$B$19,Settings!$B$6,IF($E10&gt;Settings!$B$14,"NEITHER — over bench capacity",IF($E10&gt;=2*Settings!$B$12,Settings!$B$11,"NEITHER — under bench resolution")))))</f>
        <v/>
      </c>
      <c r="G10" s="24" t="str">
        <f aca="false">IF($B10="","",IF($F10=Settings!$B$6,MAX(2*Settings!$B$7,Settings!$B$4*$E10),IF($F10=Settings!$B$11,MAX(2*Settings!$B$12,Settings!$B$4*$E10),"")))</f>
        <v/>
      </c>
      <c r="H10" s="26" t="str">
        <f aca="false">IF($B10="","",IF(LEFT($F10,7)="NEITHER","Cannot be weighed — split it, premix it, or raise the batch size",IF($G10&gt;Settings!$B$4*$E10+0.0001,"Held to the scale's resolution, not "&amp;TEXT(Settings!$B$4,"0%"),"")))</f>
        <v/>
      </c>
    </row>
    <row r="11" customFormat="false" ht="15" hidden="false" customHeight="false" outlineLevel="0" collapsed="false">
      <c r="A11" s="20" t="str">
        <f aca="false">IF($B11="","",4)</f>
        <v/>
      </c>
      <c r="B11" s="21"/>
      <c r="C11" s="22"/>
      <c r="D11" s="23" t="str">
        <f aca="false">IF($B11="","",$C11/1000)</f>
        <v/>
      </c>
      <c r="E11" s="24" t="str">
        <f aca="false">IF($B11="","",$D11*$C$4)</f>
        <v/>
      </c>
      <c r="F11" s="25" t="str">
        <f aca="false">IF($B11="","",IF($E11&lt;=0,"NEITHER — zero",IF($E11&gt;=Settings!$B$19,Settings!$B$6,IF($E11&gt;Settings!$B$14,"NEITHER — over bench capacity",IF($E11&gt;=2*Settings!$B$12,Settings!$B$11,"NEITHER — under bench resolution")))))</f>
        <v/>
      </c>
      <c r="G11" s="24" t="str">
        <f aca="false">IF($B11="","",IF($F11=Settings!$B$6,MAX(2*Settings!$B$7,Settings!$B$4*$E11),IF($F11=Settings!$B$11,MAX(2*Settings!$B$12,Settings!$B$4*$E11),"")))</f>
        <v/>
      </c>
      <c r="H11" s="26" t="str">
        <f aca="false">IF($B11="","",IF(LEFT($F11,7)="NEITHER","Cannot be weighed — split it, premix it, or raise the batch size",IF($G11&gt;Settings!$B$4*$E11+0.0001,"Held to the scale's resolution, not "&amp;TEXT(Settings!$B$4,"0%"),"")))</f>
        <v/>
      </c>
    </row>
    <row r="12" customFormat="false" ht="15" hidden="false" customHeight="false" outlineLevel="0" collapsed="false">
      <c r="A12" s="20" t="str">
        <f aca="false">IF($B12="","",5)</f>
        <v/>
      </c>
      <c r="B12" s="21"/>
      <c r="C12" s="22"/>
      <c r="D12" s="23" t="str">
        <f aca="false">IF($B12="","",$C12/1000)</f>
        <v/>
      </c>
      <c r="E12" s="24" t="str">
        <f aca="false">IF($B12="","",$D12*$C$4)</f>
        <v/>
      </c>
      <c r="F12" s="25" t="str">
        <f aca="false">IF($B12="","",IF($E12&lt;=0,"NEITHER — zero",IF($E12&gt;=Settings!$B$19,Settings!$B$6,IF($E12&gt;Settings!$B$14,"NEITHER — over bench capacity",IF($E12&gt;=2*Settings!$B$12,Settings!$B$11,"NEITHER — under bench resolution")))))</f>
        <v/>
      </c>
      <c r="G12" s="24" t="str">
        <f aca="false">IF($B12="","",IF($F12=Settings!$B$6,MAX(2*Settings!$B$7,Settings!$B$4*$E12),IF($F12=Settings!$B$11,MAX(2*Settings!$B$12,Settings!$B$4*$E12),"")))</f>
        <v/>
      </c>
      <c r="H12" s="26" t="str">
        <f aca="false">IF($B12="","",IF(LEFT($F12,7)="NEITHER","Cannot be weighed — split it, premix it, or raise the batch size",IF($G12&gt;Settings!$B$4*$E12+0.0001,"Held to the scale's resolution, not "&amp;TEXT(Settings!$B$4,"0%"),"")))</f>
        <v/>
      </c>
    </row>
    <row r="13" customFormat="false" ht="15" hidden="false" customHeight="false" outlineLevel="0" collapsed="false">
      <c r="A13" s="20" t="str">
        <f aca="false">IF($B13="","",6)</f>
        <v/>
      </c>
      <c r="B13" s="21"/>
      <c r="C13" s="22"/>
      <c r="D13" s="23" t="str">
        <f aca="false">IF($B13="","",$C13/1000)</f>
        <v/>
      </c>
      <c r="E13" s="24" t="str">
        <f aca="false">IF($B13="","",$D13*$C$4)</f>
        <v/>
      </c>
      <c r="F13" s="25" t="str">
        <f aca="false">IF($B13="","",IF($E13&lt;=0,"NEITHER — zero",IF($E13&gt;=Settings!$B$19,Settings!$B$6,IF($E13&gt;Settings!$B$14,"NEITHER — over bench capacity",IF($E13&gt;=2*Settings!$B$12,Settings!$B$11,"NEITHER — under bench resolution")))))</f>
        <v/>
      </c>
      <c r="G13" s="24" t="str">
        <f aca="false">IF($B13="","",IF($F13=Settings!$B$6,MAX(2*Settings!$B$7,Settings!$B$4*$E13),IF($F13=Settings!$B$11,MAX(2*Settings!$B$12,Settings!$B$4*$E13),"")))</f>
        <v/>
      </c>
      <c r="H13" s="26" t="str">
        <f aca="false">IF($B13="","",IF(LEFT($F13,7)="NEITHER","Cannot be weighed — split it, premix it, or raise the batch size",IF($G13&gt;Settings!$B$4*$E13+0.0001,"Held to the scale's resolution, not "&amp;TEXT(Settings!$B$4,"0%"),"")))</f>
        <v/>
      </c>
    </row>
    <row r="14" customFormat="false" ht="15" hidden="false" customHeight="false" outlineLevel="0" collapsed="false">
      <c r="A14" s="20" t="str">
        <f aca="false">IF($B14="","",7)</f>
        <v/>
      </c>
      <c r="B14" s="21"/>
      <c r="C14" s="22"/>
      <c r="D14" s="23" t="str">
        <f aca="false">IF($B14="","",$C14/1000)</f>
        <v/>
      </c>
      <c r="E14" s="24" t="str">
        <f aca="false">IF($B14="","",$D14*$C$4)</f>
        <v/>
      </c>
      <c r="F14" s="25" t="str">
        <f aca="false">IF($B14="","",IF($E14&lt;=0,"NEITHER — zero",IF($E14&gt;=Settings!$B$19,Settings!$B$6,IF($E14&gt;Settings!$B$14,"NEITHER — over bench capacity",IF($E14&gt;=2*Settings!$B$12,Settings!$B$11,"NEITHER — under bench resolution")))))</f>
        <v/>
      </c>
      <c r="G14" s="24" t="str">
        <f aca="false">IF($B14="","",IF($F14=Settings!$B$6,MAX(2*Settings!$B$7,Settings!$B$4*$E14),IF($F14=Settings!$B$11,MAX(2*Settings!$B$12,Settings!$B$4*$E14),"")))</f>
        <v/>
      </c>
      <c r="H14" s="26" t="str">
        <f aca="false">IF($B14="","",IF(LEFT($F14,7)="NEITHER","Cannot be weighed — split it, premix it, or raise the batch size",IF($G14&gt;Settings!$B$4*$E14+0.0001,"Held to the scale's resolution, not "&amp;TEXT(Settings!$B$4,"0%"),"")))</f>
        <v/>
      </c>
    </row>
    <row r="15" customFormat="false" ht="15" hidden="false" customHeight="false" outlineLevel="0" collapsed="false">
      <c r="A15" s="20" t="str">
        <f aca="false">IF($B15="","",8)</f>
        <v/>
      </c>
      <c r="B15" s="21"/>
      <c r="C15" s="22"/>
      <c r="D15" s="23" t="str">
        <f aca="false">IF($B15="","",$C15/1000)</f>
        <v/>
      </c>
      <c r="E15" s="24" t="str">
        <f aca="false">IF($B15="","",$D15*$C$4)</f>
        <v/>
      </c>
      <c r="F15" s="25" t="str">
        <f aca="false">IF($B15="","",IF($E15&lt;=0,"NEITHER — zero",IF($E15&gt;=Settings!$B$19,Settings!$B$6,IF($E15&gt;Settings!$B$14,"NEITHER — over bench capacity",IF($E15&gt;=2*Settings!$B$12,Settings!$B$11,"NEITHER — under bench resolution")))))</f>
        <v/>
      </c>
      <c r="G15" s="24" t="str">
        <f aca="false">IF($B15="","",IF($F15=Settings!$B$6,MAX(2*Settings!$B$7,Settings!$B$4*$E15),IF($F15=Settings!$B$11,MAX(2*Settings!$B$12,Settings!$B$4*$E15),"")))</f>
        <v/>
      </c>
      <c r="H15" s="26" t="str">
        <f aca="false">IF($B15="","",IF(LEFT($F15,7)="NEITHER","Cannot be weighed — split it, premix it, or raise the batch size",IF($G15&gt;Settings!$B$4*$E15+0.0001,"Held to the scale's resolution, not "&amp;TEXT(Settings!$B$4,"0%"),"")))</f>
        <v/>
      </c>
    </row>
    <row r="16" customFormat="false" ht="15" hidden="false" customHeight="false" outlineLevel="0" collapsed="false">
      <c r="A16" s="20" t="str">
        <f aca="false">IF($B16="","",9)</f>
        <v/>
      </c>
      <c r="B16" s="21"/>
      <c r="C16" s="22"/>
      <c r="D16" s="23" t="str">
        <f aca="false">IF($B16="","",$C16/1000)</f>
        <v/>
      </c>
      <c r="E16" s="24" t="str">
        <f aca="false">IF($B16="","",$D16*$C$4)</f>
        <v/>
      </c>
      <c r="F16" s="25" t="str">
        <f aca="false">IF($B16="","",IF($E16&lt;=0,"NEITHER — zero",IF($E16&gt;=Settings!$B$19,Settings!$B$6,IF($E16&gt;Settings!$B$14,"NEITHER — over bench capacity",IF($E16&gt;=2*Settings!$B$12,Settings!$B$11,"NEITHER — under bench resolution")))))</f>
        <v/>
      </c>
      <c r="G16" s="24" t="str">
        <f aca="false">IF($B16="","",IF($F16=Settings!$B$6,MAX(2*Settings!$B$7,Settings!$B$4*$E16),IF($F16=Settings!$B$11,MAX(2*Settings!$B$12,Settings!$B$4*$E16),"")))</f>
        <v/>
      </c>
      <c r="H16" s="26" t="str">
        <f aca="false">IF($B16="","",IF(LEFT($F16,7)="NEITHER","Cannot be weighed — split it, premix it, or raise the batch size",IF($G16&gt;Settings!$B$4*$E16+0.0001,"Held to the scale's resolution, not "&amp;TEXT(Settings!$B$4,"0%"),"")))</f>
        <v/>
      </c>
    </row>
    <row r="17" customFormat="false" ht="15" hidden="false" customHeight="false" outlineLevel="0" collapsed="false">
      <c r="A17" s="20" t="str">
        <f aca="false">IF($B17="","",10)</f>
        <v/>
      </c>
      <c r="B17" s="21"/>
      <c r="C17" s="22"/>
      <c r="D17" s="23" t="str">
        <f aca="false">IF($B17="","",$C17/1000)</f>
        <v/>
      </c>
      <c r="E17" s="24" t="str">
        <f aca="false">IF($B17="","",$D17*$C$4)</f>
        <v/>
      </c>
      <c r="F17" s="25" t="str">
        <f aca="false">IF($B17="","",IF($E17&lt;=0,"NEITHER — zero",IF($E17&gt;=Settings!$B$19,Settings!$B$6,IF($E17&gt;Settings!$B$14,"NEITHER — over bench capacity",IF($E17&gt;=2*Settings!$B$12,Settings!$B$11,"NEITHER — under bench resolution")))))</f>
        <v/>
      </c>
      <c r="G17" s="24" t="str">
        <f aca="false">IF($B17="","",IF($F17=Settings!$B$6,MAX(2*Settings!$B$7,Settings!$B$4*$E17),IF($F17=Settings!$B$11,MAX(2*Settings!$B$12,Settings!$B$4*$E17),"")))</f>
        <v/>
      </c>
      <c r="H17" s="26" t="str">
        <f aca="false">IF($B17="","",IF(LEFT($F17,7)="NEITHER","Cannot be weighed — split it, premix it, or raise the batch size",IF($G17&gt;Settings!$B$4*$E17+0.0001,"Held to the scale's resolution, not "&amp;TEXT(Settings!$B$4,"0%"),"")))</f>
        <v/>
      </c>
    </row>
    <row r="18" customFormat="false" ht="15" hidden="false" customHeight="false" outlineLevel="0" collapsed="false">
      <c r="A18" s="20" t="str">
        <f aca="false">IF($B18="","",11)</f>
        <v/>
      </c>
      <c r="B18" s="21"/>
      <c r="C18" s="22"/>
      <c r="D18" s="23" t="str">
        <f aca="false">IF($B18="","",$C18/1000)</f>
        <v/>
      </c>
      <c r="E18" s="24" t="str">
        <f aca="false">IF($B18="","",$D18*$C$4)</f>
        <v/>
      </c>
      <c r="F18" s="25" t="str">
        <f aca="false">IF($B18="","",IF($E18&lt;=0,"NEITHER — zero",IF($E18&gt;=Settings!$B$19,Settings!$B$6,IF($E18&gt;Settings!$B$14,"NEITHER — over bench capacity",IF($E18&gt;=2*Settings!$B$12,Settings!$B$11,"NEITHER — under bench resolution")))))</f>
        <v/>
      </c>
      <c r="G18" s="24" t="str">
        <f aca="false">IF($B18="","",IF($F18=Settings!$B$6,MAX(2*Settings!$B$7,Settings!$B$4*$E18),IF($F18=Settings!$B$11,MAX(2*Settings!$B$12,Settings!$B$4*$E18),"")))</f>
        <v/>
      </c>
      <c r="H18" s="26" t="str">
        <f aca="false">IF($B18="","",IF(LEFT($F18,7)="NEITHER","Cannot be weighed — split it, premix it, or raise the batch size",IF($G18&gt;Settings!$B$4*$E18+0.0001,"Held to the scale's resolution, not "&amp;TEXT(Settings!$B$4,"0%"),"")))</f>
        <v/>
      </c>
    </row>
    <row r="19" customFormat="false" ht="15" hidden="false" customHeight="false" outlineLevel="0" collapsed="false">
      <c r="A19" s="20" t="str">
        <f aca="false">IF($B19="","",12)</f>
        <v/>
      </c>
      <c r="B19" s="21"/>
      <c r="C19" s="22"/>
      <c r="D19" s="23" t="str">
        <f aca="false">IF($B19="","",$C19/1000)</f>
        <v/>
      </c>
      <c r="E19" s="24" t="str">
        <f aca="false">IF($B19="","",$D19*$C$4)</f>
        <v/>
      </c>
      <c r="F19" s="25" t="str">
        <f aca="false">IF($B19="","",IF($E19&lt;=0,"NEITHER — zero",IF($E19&gt;=Settings!$B$19,Settings!$B$6,IF($E19&gt;Settings!$B$14,"NEITHER — over bench capacity",IF($E19&gt;=2*Settings!$B$12,Settings!$B$11,"NEITHER — under bench resolution")))))</f>
        <v/>
      </c>
      <c r="G19" s="24" t="str">
        <f aca="false">IF($B19="","",IF($F19=Settings!$B$6,MAX(2*Settings!$B$7,Settings!$B$4*$E19),IF($F19=Settings!$B$11,MAX(2*Settings!$B$12,Settings!$B$4*$E19),"")))</f>
        <v/>
      </c>
      <c r="H19" s="26" t="str">
        <f aca="false">IF($B19="","",IF(LEFT($F19,7)="NEITHER","Cannot be weighed — split it, premix it, or raise the batch size",IF($G19&gt;Settings!$B$4*$E19+0.0001,"Held to the scale's resolution, not "&amp;TEXT(Settings!$B$4,"0%"),"")))</f>
        <v/>
      </c>
    </row>
    <row r="20" customFormat="false" ht="15" hidden="false" customHeight="false" outlineLevel="0" collapsed="false">
      <c r="A20" s="20" t="str">
        <f aca="false">IF($B20="","",13)</f>
        <v/>
      </c>
      <c r="B20" s="21"/>
      <c r="C20" s="22"/>
      <c r="D20" s="23" t="str">
        <f aca="false">IF($B20="","",$C20/1000)</f>
        <v/>
      </c>
      <c r="E20" s="24" t="str">
        <f aca="false">IF($B20="","",$D20*$C$4)</f>
        <v/>
      </c>
      <c r="F20" s="25" t="str">
        <f aca="false">IF($B20="","",IF($E20&lt;=0,"NEITHER — zero",IF($E20&gt;=Settings!$B$19,Settings!$B$6,IF($E20&gt;Settings!$B$14,"NEITHER — over bench capacity",IF($E20&gt;=2*Settings!$B$12,Settings!$B$11,"NEITHER — under bench resolution")))))</f>
        <v/>
      </c>
      <c r="G20" s="24" t="str">
        <f aca="false">IF($B20="","",IF($F20=Settings!$B$6,MAX(2*Settings!$B$7,Settings!$B$4*$E20),IF($F20=Settings!$B$11,MAX(2*Settings!$B$12,Settings!$B$4*$E20),"")))</f>
        <v/>
      </c>
      <c r="H20" s="26" t="str">
        <f aca="false">IF($B20="","",IF(LEFT($F20,7)="NEITHER","Cannot be weighed — split it, premix it, or raise the batch size",IF($G20&gt;Settings!$B$4*$E20+0.0001,"Held to the scale's resolution, not "&amp;TEXT(Settings!$B$4,"0%"),"")))</f>
        <v/>
      </c>
    </row>
    <row r="21" customFormat="false" ht="15" hidden="false" customHeight="false" outlineLevel="0" collapsed="false">
      <c r="A21" s="20" t="str">
        <f aca="false">IF($B21="","",14)</f>
        <v/>
      </c>
      <c r="B21" s="21"/>
      <c r="C21" s="22"/>
      <c r="D21" s="23" t="str">
        <f aca="false">IF($B21="","",$C21/1000)</f>
        <v/>
      </c>
      <c r="E21" s="24" t="str">
        <f aca="false">IF($B21="","",$D21*$C$4)</f>
        <v/>
      </c>
      <c r="F21" s="25" t="str">
        <f aca="false">IF($B21="","",IF($E21&lt;=0,"NEITHER — zero",IF($E21&gt;=Settings!$B$19,Settings!$B$6,IF($E21&gt;Settings!$B$14,"NEITHER — over bench capacity",IF($E21&gt;=2*Settings!$B$12,Settings!$B$11,"NEITHER — under bench resolution")))))</f>
        <v/>
      </c>
      <c r="G21" s="24" t="str">
        <f aca="false">IF($B21="","",IF($F21=Settings!$B$6,MAX(2*Settings!$B$7,Settings!$B$4*$E21),IF($F21=Settings!$B$11,MAX(2*Settings!$B$12,Settings!$B$4*$E21),"")))</f>
        <v/>
      </c>
      <c r="H21" s="26" t="str">
        <f aca="false">IF($B21="","",IF(LEFT($F21,7)="NEITHER","Cannot be weighed — split it, premix it, or raise the batch size",IF($G21&gt;Settings!$B$4*$E21+0.0001,"Held to the scale's resolution, not "&amp;TEXT(Settings!$B$4,"0%"),"")))</f>
        <v/>
      </c>
    </row>
    <row r="22" customFormat="false" ht="15" hidden="false" customHeight="false" outlineLevel="0" collapsed="false">
      <c r="A22" s="20" t="str">
        <f aca="false">IF($B22="","",15)</f>
        <v/>
      </c>
      <c r="B22" s="21"/>
      <c r="C22" s="22"/>
      <c r="D22" s="23" t="str">
        <f aca="false">IF($B22="","",$C22/1000)</f>
        <v/>
      </c>
      <c r="E22" s="24" t="str">
        <f aca="false">IF($B22="","",$D22*$C$4)</f>
        <v/>
      </c>
      <c r="F22" s="25" t="str">
        <f aca="false">IF($B22="","",IF($E22&lt;=0,"NEITHER — zero",IF($E22&gt;=Settings!$B$19,Settings!$B$6,IF($E22&gt;Settings!$B$14,"NEITHER — over bench capacity",IF($E22&gt;=2*Settings!$B$12,Settings!$B$11,"NEITHER — under bench resolution")))))</f>
        <v/>
      </c>
      <c r="G22" s="24" t="str">
        <f aca="false">IF($B22="","",IF($F22=Settings!$B$6,MAX(2*Settings!$B$7,Settings!$B$4*$E22),IF($F22=Settings!$B$11,MAX(2*Settings!$B$12,Settings!$B$4*$E22),"")))</f>
        <v/>
      </c>
      <c r="H22" s="26" t="str">
        <f aca="false">IF($B22="","",IF(LEFT($F22,7)="NEITHER","Cannot be weighed — split it, premix it, or raise the batch size",IF($G22&gt;Settings!$B$4*$E22+0.0001,"Held to the scale's resolution, not "&amp;TEXT(Settings!$B$4,"0%"),"")))</f>
        <v/>
      </c>
    </row>
    <row r="23" customFormat="false" ht="15" hidden="false" customHeight="false" outlineLevel="0" collapsed="false">
      <c r="A23" s="20" t="str">
        <f aca="false">IF($B23="","",16)</f>
        <v/>
      </c>
      <c r="B23" s="21"/>
      <c r="C23" s="22"/>
      <c r="D23" s="23" t="str">
        <f aca="false">IF($B23="","",$C23/1000)</f>
        <v/>
      </c>
      <c r="E23" s="24" t="str">
        <f aca="false">IF($B23="","",$D23*$C$4)</f>
        <v/>
      </c>
      <c r="F23" s="25" t="str">
        <f aca="false">IF($B23="","",IF($E23&lt;=0,"NEITHER — zero",IF($E23&gt;=Settings!$B$19,Settings!$B$6,IF($E23&gt;Settings!$B$14,"NEITHER — over bench capacity",IF($E23&gt;=2*Settings!$B$12,Settings!$B$11,"NEITHER — under bench resolution")))))</f>
        <v/>
      </c>
      <c r="G23" s="24" t="str">
        <f aca="false">IF($B23="","",IF($F23=Settings!$B$6,MAX(2*Settings!$B$7,Settings!$B$4*$E23),IF($F23=Settings!$B$11,MAX(2*Settings!$B$12,Settings!$B$4*$E23),"")))</f>
        <v/>
      </c>
      <c r="H23" s="26" t="str">
        <f aca="false">IF($B23="","",IF(LEFT($F23,7)="NEITHER","Cannot be weighed — split it, premix it, or raise the batch size",IF($G23&gt;Settings!$B$4*$E23+0.0001,"Held to the scale's resolution, not "&amp;TEXT(Settings!$B$4,"0%"),"")))</f>
        <v/>
      </c>
    </row>
    <row r="24" customFormat="false" ht="15" hidden="false" customHeight="false" outlineLevel="0" collapsed="false">
      <c r="A24" s="20" t="str">
        <f aca="false">IF($B24="","",17)</f>
        <v/>
      </c>
      <c r="B24" s="21"/>
      <c r="C24" s="22"/>
      <c r="D24" s="23" t="str">
        <f aca="false">IF($B24="","",$C24/1000)</f>
        <v/>
      </c>
      <c r="E24" s="24" t="str">
        <f aca="false">IF($B24="","",$D24*$C$4)</f>
        <v/>
      </c>
      <c r="F24" s="25" t="str">
        <f aca="false">IF($B24="","",IF($E24&lt;=0,"NEITHER — zero",IF($E24&gt;=Settings!$B$19,Settings!$B$6,IF($E24&gt;Settings!$B$14,"NEITHER — over bench capacity",IF($E24&gt;=2*Settings!$B$12,Settings!$B$11,"NEITHER — under bench resolution")))))</f>
        <v/>
      </c>
      <c r="G24" s="24" t="str">
        <f aca="false">IF($B24="","",IF($F24=Settings!$B$6,MAX(2*Settings!$B$7,Settings!$B$4*$E24),IF($F24=Settings!$B$11,MAX(2*Settings!$B$12,Settings!$B$4*$E24),"")))</f>
        <v/>
      </c>
      <c r="H24" s="26" t="str">
        <f aca="false">IF($B24="","",IF(LEFT($F24,7)="NEITHER","Cannot be weighed — split it, premix it, or raise the batch size",IF($G24&gt;Settings!$B$4*$E24+0.0001,"Held to the scale's resolution, not "&amp;TEXT(Settings!$B$4,"0%"),"")))</f>
        <v/>
      </c>
    </row>
    <row r="25" customFormat="false" ht="15" hidden="false" customHeight="false" outlineLevel="0" collapsed="false">
      <c r="A25" s="20" t="str">
        <f aca="false">IF($B25="","",18)</f>
        <v/>
      </c>
      <c r="B25" s="21"/>
      <c r="C25" s="22"/>
      <c r="D25" s="23" t="str">
        <f aca="false">IF($B25="","",$C25/1000)</f>
        <v/>
      </c>
      <c r="E25" s="24" t="str">
        <f aca="false">IF($B25="","",$D25*$C$4)</f>
        <v/>
      </c>
      <c r="F25" s="25" t="str">
        <f aca="false">IF($B25="","",IF($E25&lt;=0,"NEITHER — zero",IF($E25&gt;=Settings!$B$19,Settings!$B$6,IF($E25&gt;Settings!$B$14,"NEITHER — over bench capacity",IF($E25&gt;=2*Settings!$B$12,Settings!$B$11,"NEITHER — under bench resolution")))))</f>
        <v/>
      </c>
      <c r="G25" s="24" t="str">
        <f aca="false">IF($B25="","",IF($F25=Settings!$B$6,MAX(2*Settings!$B$7,Settings!$B$4*$E25),IF($F25=Settings!$B$11,MAX(2*Settings!$B$12,Settings!$B$4*$E25),"")))</f>
        <v/>
      </c>
      <c r="H25" s="26" t="str">
        <f aca="false">IF($B25="","",IF(LEFT($F25,7)="NEITHER","Cannot be weighed — split it, premix it, or raise the batch size",IF($G25&gt;Settings!$B$4*$E25+0.0001,"Held to the scale's resolution, not "&amp;TEXT(Settings!$B$4,"0%"),"")))</f>
        <v/>
      </c>
    </row>
    <row r="26" customFormat="false" ht="15" hidden="false" customHeight="false" outlineLevel="0" collapsed="false">
      <c r="A26" s="20" t="str">
        <f aca="false">IF($B26="","",19)</f>
        <v/>
      </c>
      <c r="B26" s="21"/>
      <c r="C26" s="22"/>
      <c r="D26" s="23" t="str">
        <f aca="false">IF($B26="","",$C26/1000)</f>
        <v/>
      </c>
      <c r="E26" s="24" t="str">
        <f aca="false">IF($B26="","",$D26*$C$4)</f>
        <v/>
      </c>
      <c r="F26" s="25" t="str">
        <f aca="false">IF($B26="","",IF($E26&lt;=0,"NEITHER — zero",IF($E26&gt;=Settings!$B$19,Settings!$B$6,IF($E26&gt;Settings!$B$14,"NEITHER — over bench capacity",IF($E26&gt;=2*Settings!$B$12,Settings!$B$11,"NEITHER — under bench resolution")))))</f>
        <v/>
      </c>
      <c r="G26" s="24" t="str">
        <f aca="false">IF($B26="","",IF($F26=Settings!$B$6,MAX(2*Settings!$B$7,Settings!$B$4*$E26),IF($F26=Settings!$B$11,MAX(2*Settings!$B$12,Settings!$B$4*$E26),"")))</f>
        <v/>
      </c>
      <c r="H26" s="26" t="str">
        <f aca="false">IF($B26="","",IF(LEFT($F26,7)="NEITHER","Cannot be weighed — split it, premix it, or raise the batch size",IF($G26&gt;Settings!$B$4*$E26+0.0001,"Held to the scale's resolution, not "&amp;TEXT(Settings!$B$4,"0%"),"")))</f>
        <v/>
      </c>
    </row>
    <row r="27" customFormat="false" ht="15" hidden="false" customHeight="false" outlineLevel="0" collapsed="false">
      <c r="A27" s="20" t="str">
        <f aca="false">IF($B27="","",20)</f>
        <v/>
      </c>
      <c r="B27" s="21"/>
      <c r="C27" s="22"/>
      <c r="D27" s="23" t="str">
        <f aca="false">IF($B27="","",$C27/1000)</f>
        <v/>
      </c>
      <c r="E27" s="24" t="str">
        <f aca="false">IF($B27="","",$D27*$C$4)</f>
        <v/>
      </c>
      <c r="F27" s="25" t="str">
        <f aca="false">IF($B27="","",IF($E27&lt;=0,"NEITHER — zero",IF($E27&gt;=Settings!$B$19,Settings!$B$6,IF($E27&gt;Settings!$B$14,"NEITHER — over bench capacity",IF($E27&gt;=2*Settings!$B$12,Settings!$B$11,"NEITHER — under bench resolution")))))</f>
        <v/>
      </c>
      <c r="G27" s="24" t="str">
        <f aca="false">IF($B27="","",IF($F27=Settings!$B$6,MAX(2*Settings!$B$7,Settings!$B$4*$E27),IF($F27=Settings!$B$11,MAX(2*Settings!$B$12,Settings!$B$4*$E27),"")))</f>
        <v/>
      </c>
      <c r="H27" s="26" t="str">
        <f aca="false">IF($B27="","",IF(LEFT($F27,7)="NEITHER","Cannot be weighed — split it, premix it, or raise the batch size",IF($G27&gt;Settings!$B$4*$E27+0.0001,"Held to the scale's resolution, not "&amp;TEXT(Settings!$B$4,"0%"),"")))</f>
        <v/>
      </c>
    </row>
    <row r="28" customFormat="false" ht="15" hidden="false" customHeight="false" outlineLevel="0" collapsed="false">
      <c r="A28" s="20" t="str">
        <f aca="false">IF($B28="","",21)</f>
        <v/>
      </c>
      <c r="B28" s="21"/>
      <c r="C28" s="22"/>
      <c r="D28" s="23" t="str">
        <f aca="false">IF($B28="","",$C28/1000)</f>
        <v/>
      </c>
      <c r="E28" s="24" t="str">
        <f aca="false">IF($B28="","",$D28*$C$4)</f>
        <v/>
      </c>
      <c r="F28" s="25" t="str">
        <f aca="false">IF($B28="","",IF($E28&lt;=0,"NEITHER — zero",IF($E28&gt;=Settings!$B$19,Settings!$B$6,IF($E28&gt;Settings!$B$14,"NEITHER — over bench capacity",IF($E28&gt;=2*Settings!$B$12,Settings!$B$11,"NEITHER — under bench resolution")))))</f>
        <v/>
      </c>
      <c r="G28" s="24" t="str">
        <f aca="false">IF($B28="","",IF($F28=Settings!$B$6,MAX(2*Settings!$B$7,Settings!$B$4*$E28),IF($F28=Settings!$B$11,MAX(2*Settings!$B$12,Settings!$B$4*$E28),"")))</f>
        <v/>
      </c>
      <c r="H28" s="26" t="str">
        <f aca="false">IF($B28="","",IF(LEFT($F28,7)="NEITHER","Cannot be weighed — split it, premix it, or raise the batch size",IF($G28&gt;Settings!$B$4*$E28+0.0001,"Held to the scale's resolution, not "&amp;TEXT(Settings!$B$4,"0%"),"")))</f>
        <v/>
      </c>
    </row>
    <row r="29" customFormat="false" ht="15" hidden="false" customHeight="false" outlineLevel="0" collapsed="false">
      <c r="A29" s="20" t="str">
        <f aca="false">IF($B29="","",22)</f>
        <v/>
      </c>
      <c r="B29" s="21"/>
      <c r="C29" s="22"/>
      <c r="D29" s="23" t="str">
        <f aca="false">IF($B29="","",$C29/1000)</f>
        <v/>
      </c>
      <c r="E29" s="24" t="str">
        <f aca="false">IF($B29="","",$D29*$C$4)</f>
        <v/>
      </c>
      <c r="F29" s="25" t="str">
        <f aca="false">IF($B29="","",IF($E29&lt;=0,"NEITHER — zero",IF($E29&gt;=Settings!$B$19,Settings!$B$6,IF($E29&gt;Settings!$B$14,"NEITHER — over bench capacity",IF($E29&gt;=2*Settings!$B$12,Settings!$B$11,"NEITHER — under bench resolution")))))</f>
        <v/>
      </c>
      <c r="G29" s="24" t="str">
        <f aca="false">IF($B29="","",IF($F29=Settings!$B$6,MAX(2*Settings!$B$7,Settings!$B$4*$E29),IF($F29=Settings!$B$11,MAX(2*Settings!$B$12,Settings!$B$4*$E29),"")))</f>
        <v/>
      </c>
      <c r="H29" s="26" t="str">
        <f aca="false">IF($B29="","",IF(LEFT($F29,7)="NEITHER","Cannot be weighed — split it, premix it, or raise the batch size",IF($G29&gt;Settings!$B$4*$E29+0.0001,"Held to the scale's resolution, not "&amp;TEXT(Settings!$B$4,"0%"),"")))</f>
        <v/>
      </c>
    </row>
    <row r="30" customFormat="false" ht="15" hidden="false" customHeight="false" outlineLevel="0" collapsed="false">
      <c r="A30" s="20" t="str">
        <f aca="false">IF($B30="","",23)</f>
        <v/>
      </c>
      <c r="B30" s="21"/>
      <c r="C30" s="22"/>
      <c r="D30" s="23" t="str">
        <f aca="false">IF($B30="","",$C30/1000)</f>
        <v/>
      </c>
      <c r="E30" s="24" t="str">
        <f aca="false">IF($B30="","",$D30*$C$4)</f>
        <v/>
      </c>
      <c r="F30" s="25" t="str">
        <f aca="false">IF($B30="","",IF($E30&lt;=0,"NEITHER — zero",IF($E30&gt;=Settings!$B$19,Settings!$B$6,IF($E30&gt;Settings!$B$14,"NEITHER — over bench capacity",IF($E30&gt;=2*Settings!$B$12,Settings!$B$11,"NEITHER — under bench resolution")))))</f>
        <v/>
      </c>
      <c r="G30" s="24" t="str">
        <f aca="false">IF($B30="","",IF($F30=Settings!$B$6,MAX(2*Settings!$B$7,Settings!$B$4*$E30),IF($F30=Settings!$B$11,MAX(2*Settings!$B$12,Settings!$B$4*$E30),"")))</f>
        <v/>
      </c>
      <c r="H30" s="26" t="str">
        <f aca="false">IF($B30="","",IF(LEFT($F30,7)="NEITHER","Cannot be weighed — split it, premix it, or raise the batch size",IF($G30&gt;Settings!$B$4*$E30+0.0001,"Held to the scale's resolution, not "&amp;TEXT(Settings!$B$4,"0%"),"")))</f>
        <v/>
      </c>
    </row>
    <row r="31" customFormat="false" ht="15" hidden="false" customHeight="false" outlineLevel="0" collapsed="false">
      <c r="A31" s="20" t="str">
        <f aca="false">IF($B31="","",24)</f>
        <v/>
      </c>
      <c r="B31" s="21"/>
      <c r="C31" s="22"/>
      <c r="D31" s="23" t="str">
        <f aca="false">IF($B31="","",$C31/1000)</f>
        <v/>
      </c>
      <c r="E31" s="24" t="str">
        <f aca="false">IF($B31="","",$D31*$C$4)</f>
        <v/>
      </c>
      <c r="F31" s="25" t="str">
        <f aca="false">IF($B31="","",IF($E31&lt;=0,"NEITHER — zero",IF($E31&gt;=Settings!$B$19,Settings!$B$6,IF($E31&gt;Settings!$B$14,"NEITHER — over bench capacity",IF($E31&gt;=2*Settings!$B$12,Settings!$B$11,"NEITHER — under bench resolution")))))</f>
        <v/>
      </c>
      <c r="G31" s="24" t="str">
        <f aca="false">IF($B31="","",IF($F31=Settings!$B$6,MAX(2*Settings!$B$7,Settings!$B$4*$E31),IF($F31=Settings!$B$11,MAX(2*Settings!$B$12,Settings!$B$4*$E31),"")))</f>
        <v/>
      </c>
      <c r="H31" s="26" t="str">
        <f aca="false">IF($B31="","",IF(LEFT($F31,7)="NEITHER","Cannot be weighed — split it, premix it, or raise the batch size",IF($G31&gt;Settings!$B$4*$E31+0.0001,"Held to the scale's resolution, not "&amp;TEXT(Settings!$B$4,"0%"),"")))</f>
        <v/>
      </c>
    </row>
    <row r="32" customFormat="false" ht="15" hidden="false" customHeight="false" outlineLevel="0" collapsed="false">
      <c r="A32" s="20" t="str">
        <f aca="false">IF($B32="","",25)</f>
        <v/>
      </c>
      <c r="B32" s="21"/>
      <c r="C32" s="22"/>
      <c r="D32" s="23" t="str">
        <f aca="false">IF($B32="","",$C32/1000)</f>
        <v/>
      </c>
      <c r="E32" s="24" t="str">
        <f aca="false">IF($B32="","",$D32*$C$4)</f>
        <v/>
      </c>
      <c r="F32" s="25" t="str">
        <f aca="false">IF($B32="","",IF($E32&lt;=0,"NEITHER — zero",IF($E32&gt;=Settings!$B$19,Settings!$B$6,IF($E32&gt;Settings!$B$14,"NEITHER — over bench capacity",IF($E32&gt;=2*Settings!$B$12,Settings!$B$11,"NEITHER — under bench resolution")))))</f>
        <v/>
      </c>
      <c r="G32" s="24" t="str">
        <f aca="false">IF($B32="","",IF($F32=Settings!$B$6,MAX(2*Settings!$B$7,Settings!$B$4*$E32),IF($F32=Settings!$B$11,MAX(2*Settings!$B$12,Settings!$B$4*$E32),"")))</f>
        <v/>
      </c>
      <c r="H32" s="26" t="str">
        <f aca="false">IF($B32="","",IF(LEFT($F32,7)="NEITHER","Cannot be weighed — split it, premix it, or raise the batch size",IF($G32&gt;Settings!$B$4*$E32+0.0001,"Held to the scale's resolution, not "&amp;TEXT(Settings!$B$4,"0%"),"")))</f>
        <v/>
      </c>
    </row>
    <row r="33" customFormat="false" ht="15" hidden="false" customHeight="false" outlineLevel="0" collapsed="false">
      <c r="A33" s="20" t="str">
        <f aca="false">IF($B33="","",26)</f>
        <v/>
      </c>
      <c r="B33" s="21"/>
      <c r="C33" s="22"/>
      <c r="D33" s="23" t="str">
        <f aca="false">IF($B33="","",$C33/1000)</f>
        <v/>
      </c>
      <c r="E33" s="24" t="str">
        <f aca="false">IF($B33="","",$D33*$C$4)</f>
        <v/>
      </c>
      <c r="F33" s="25" t="str">
        <f aca="false">IF($B33="","",IF($E33&lt;=0,"NEITHER — zero",IF($E33&gt;=Settings!$B$19,Settings!$B$6,IF($E33&gt;Settings!$B$14,"NEITHER — over bench capacity",IF($E33&gt;=2*Settings!$B$12,Settings!$B$11,"NEITHER — under bench resolution")))))</f>
        <v/>
      </c>
      <c r="G33" s="24" t="str">
        <f aca="false">IF($B33="","",IF($F33=Settings!$B$6,MAX(2*Settings!$B$7,Settings!$B$4*$E33),IF($F33=Settings!$B$11,MAX(2*Settings!$B$12,Settings!$B$4*$E33),"")))</f>
        <v/>
      </c>
      <c r="H33" s="26" t="str">
        <f aca="false">IF($B33="","",IF(LEFT($F33,7)="NEITHER","Cannot be weighed — split it, premix it, or raise the batch size",IF($G33&gt;Settings!$B$4*$E33+0.0001,"Held to the scale's resolution, not "&amp;TEXT(Settings!$B$4,"0%"),"")))</f>
        <v/>
      </c>
    </row>
    <row r="34" customFormat="false" ht="15" hidden="false" customHeight="false" outlineLevel="0" collapsed="false">
      <c r="A34" s="20" t="str">
        <f aca="false">IF($B34="","",27)</f>
        <v/>
      </c>
      <c r="B34" s="21"/>
      <c r="C34" s="22"/>
      <c r="D34" s="23" t="str">
        <f aca="false">IF($B34="","",$C34/1000)</f>
        <v/>
      </c>
      <c r="E34" s="24" t="str">
        <f aca="false">IF($B34="","",$D34*$C$4)</f>
        <v/>
      </c>
      <c r="F34" s="25" t="str">
        <f aca="false">IF($B34="","",IF($E34&lt;=0,"NEITHER — zero",IF($E34&gt;=Settings!$B$19,Settings!$B$6,IF($E34&gt;Settings!$B$14,"NEITHER — over bench capacity",IF($E34&gt;=2*Settings!$B$12,Settings!$B$11,"NEITHER — under bench resolution")))))</f>
        <v/>
      </c>
      <c r="G34" s="24" t="str">
        <f aca="false">IF($B34="","",IF($F34=Settings!$B$6,MAX(2*Settings!$B$7,Settings!$B$4*$E34),IF($F34=Settings!$B$11,MAX(2*Settings!$B$12,Settings!$B$4*$E34),"")))</f>
        <v/>
      </c>
      <c r="H34" s="26" t="str">
        <f aca="false">IF($B34="","",IF(LEFT($F34,7)="NEITHER","Cannot be weighed — split it, premix it, or raise the batch size",IF($G34&gt;Settings!$B$4*$E34+0.0001,"Held to the scale's resolution, not "&amp;TEXT(Settings!$B$4,"0%"),"")))</f>
        <v/>
      </c>
    </row>
    <row r="35" customFormat="false" ht="15" hidden="false" customHeight="false" outlineLevel="0" collapsed="false">
      <c r="A35" s="20" t="str">
        <f aca="false">IF($B35="","",28)</f>
        <v/>
      </c>
      <c r="B35" s="21"/>
      <c r="C35" s="22"/>
      <c r="D35" s="23" t="str">
        <f aca="false">IF($B35="","",$C35/1000)</f>
        <v/>
      </c>
      <c r="E35" s="24" t="str">
        <f aca="false">IF($B35="","",$D35*$C$4)</f>
        <v/>
      </c>
      <c r="F35" s="25" t="str">
        <f aca="false">IF($B35="","",IF($E35&lt;=0,"NEITHER — zero",IF($E35&gt;=Settings!$B$19,Settings!$B$6,IF($E35&gt;Settings!$B$14,"NEITHER — over bench capacity",IF($E35&gt;=2*Settings!$B$12,Settings!$B$11,"NEITHER — under bench resolution")))))</f>
        <v/>
      </c>
      <c r="G35" s="24" t="str">
        <f aca="false">IF($B35="","",IF($F35=Settings!$B$6,MAX(2*Settings!$B$7,Settings!$B$4*$E35),IF($F35=Settings!$B$11,MAX(2*Settings!$B$12,Settings!$B$4*$E35),"")))</f>
        <v/>
      </c>
      <c r="H35" s="26" t="str">
        <f aca="false">IF($B35="","",IF(LEFT($F35,7)="NEITHER","Cannot be weighed — split it, premix it, or raise the batch size",IF($G35&gt;Settings!$B$4*$E35+0.0001,"Held to the scale's resolution, not "&amp;TEXT(Settings!$B$4,"0%"),"")))</f>
        <v/>
      </c>
    </row>
    <row r="36" customFormat="false" ht="15" hidden="false" customHeight="false" outlineLevel="0" collapsed="false">
      <c r="A36" s="20" t="str">
        <f aca="false">IF($B36="","",29)</f>
        <v/>
      </c>
      <c r="B36" s="21"/>
      <c r="C36" s="22"/>
      <c r="D36" s="23" t="str">
        <f aca="false">IF($B36="","",$C36/1000)</f>
        <v/>
      </c>
      <c r="E36" s="24" t="str">
        <f aca="false">IF($B36="","",$D36*$C$4)</f>
        <v/>
      </c>
      <c r="F36" s="25" t="str">
        <f aca="false">IF($B36="","",IF($E36&lt;=0,"NEITHER — zero",IF($E36&gt;=Settings!$B$19,Settings!$B$6,IF($E36&gt;Settings!$B$14,"NEITHER — over bench capacity",IF($E36&gt;=2*Settings!$B$12,Settings!$B$11,"NEITHER — under bench resolution")))))</f>
        <v/>
      </c>
      <c r="G36" s="24" t="str">
        <f aca="false">IF($B36="","",IF($F36=Settings!$B$6,MAX(2*Settings!$B$7,Settings!$B$4*$E36),IF($F36=Settings!$B$11,MAX(2*Settings!$B$12,Settings!$B$4*$E36),"")))</f>
        <v/>
      </c>
      <c r="H36" s="26" t="str">
        <f aca="false">IF($B36="","",IF(LEFT($F36,7)="NEITHER","Cannot be weighed — split it, premix it, or raise the batch size",IF($G36&gt;Settings!$B$4*$E36+0.0001,"Held to the scale's resolution, not "&amp;TEXT(Settings!$B$4,"0%"),"")))</f>
        <v/>
      </c>
    </row>
    <row r="37" customFormat="false" ht="15" hidden="false" customHeight="false" outlineLevel="0" collapsed="false">
      <c r="A37" s="20" t="str">
        <f aca="false">IF($B37="","",30)</f>
        <v/>
      </c>
      <c r="B37" s="21"/>
      <c r="C37" s="22"/>
      <c r="D37" s="23" t="str">
        <f aca="false">IF($B37="","",$C37/1000)</f>
        <v/>
      </c>
      <c r="E37" s="24" t="str">
        <f aca="false">IF($B37="","",$D37*$C$4)</f>
        <v/>
      </c>
      <c r="F37" s="25" t="str">
        <f aca="false">IF($B37="","",IF($E37&lt;=0,"NEITHER — zero",IF($E37&gt;=Settings!$B$19,Settings!$B$6,IF($E37&gt;Settings!$B$14,"NEITHER — over bench capacity",IF($E37&gt;=2*Settings!$B$12,Settings!$B$11,"NEITHER — under bench resolution")))))</f>
        <v/>
      </c>
      <c r="G37" s="24" t="str">
        <f aca="false">IF($B37="","",IF($F37=Settings!$B$6,MAX(2*Settings!$B$7,Settings!$B$4*$E37),IF($F37=Settings!$B$11,MAX(2*Settings!$B$12,Settings!$B$4*$E37),"")))</f>
        <v/>
      </c>
      <c r="H37" s="26" t="str">
        <f aca="false">IF($B37="","",IF(LEFT($F37,7)="NEITHER","Cannot be weighed — split it, premix it, or raise the batch size",IF($G37&gt;Settings!$B$4*$E37+0.0001,"Held to the scale's resolution, not "&amp;TEXT(Settings!$B$4,"0%"),"")))</f>
        <v/>
      </c>
    </row>
    <row r="38" customFormat="false" ht="15" hidden="false" customHeight="false" outlineLevel="0" collapsed="false">
      <c r="A38" s="20" t="str">
        <f aca="false">IF($B38="","",31)</f>
        <v/>
      </c>
      <c r="B38" s="21"/>
      <c r="C38" s="22"/>
      <c r="D38" s="23" t="str">
        <f aca="false">IF($B38="","",$C38/1000)</f>
        <v/>
      </c>
      <c r="E38" s="24" t="str">
        <f aca="false">IF($B38="","",$D38*$C$4)</f>
        <v/>
      </c>
      <c r="F38" s="25" t="str">
        <f aca="false">IF($B38="","",IF($E38&lt;=0,"NEITHER — zero",IF($E38&gt;=Settings!$B$19,Settings!$B$6,IF($E38&gt;Settings!$B$14,"NEITHER — over bench capacity",IF($E38&gt;=2*Settings!$B$12,Settings!$B$11,"NEITHER — under bench resolution")))))</f>
        <v/>
      </c>
      <c r="G38" s="24" t="str">
        <f aca="false">IF($B38="","",IF($F38=Settings!$B$6,MAX(2*Settings!$B$7,Settings!$B$4*$E38),IF($F38=Settings!$B$11,MAX(2*Settings!$B$12,Settings!$B$4*$E38),"")))</f>
        <v/>
      </c>
      <c r="H38" s="26" t="str">
        <f aca="false">IF($B38="","",IF(LEFT($F38,7)="NEITHER","Cannot be weighed — split it, premix it, or raise the batch size",IF($G38&gt;Settings!$B$4*$E38+0.0001,"Held to the scale's resolution, not "&amp;TEXT(Settings!$B$4,"0%"),"")))</f>
        <v/>
      </c>
    </row>
    <row r="39" customFormat="false" ht="15" hidden="false" customHeight="false" outlineLevel="0" collapsed="false">
      <c r="A39" s="20" t="str">
        <f aca="false">IF($B39="","",32)</f>
        <v/>
      </c>
      <c r="B39" s="21"/>
      <c r="C39" s="22"/>
      <c r="D39" s="23" t="str">
        <f aca="false">IF($B39="","",$C39/1000)</f>
        <v/>
      </c>
      <c r="E39" s="24" t="str">
        <f aca="false">IF($B39="","",$D39*$C$4)</f>
        <v/>
      </c>
      <c r="F39" s="25" t="str">
        <f aca="false">IF($B39="","",IF($E39&lt;=0,"NEITHER — zero",IF($E39&gt;=Settings!$B$19,Settings!$B$6,IF($E39&gt;Settings!$B$14,"NEITHER — over bench capacity",IF($E39&gt;=2*Settings!$B$12,Settings!$B$11,"NEITHER — under bench resolution")))))</f>
        <v/>
      </c>
      <c r="G39" s="24" t="str">
        <f aca="false">IF($B39="","",IF($F39=Settings!$B$6,MAX(2*Settings!$B$7,Settings!$B$4*$E39),IF($F39=Settings!$B$11,MAX(2*Settings!$B$12,Settings!$B$4*$E39),"")))</f>
        <v/>
      </c>
      <c r="H39" s="26" t="str">
        <f aca="false">IF($B39="","",IF(LEFT($F39,7)="NEITHER","Cannot be weighed — split it, premix it, or raise the batch size",IF($G39&gt;Settings!$B$4*$E39+0.0001,"Held to the scale's resolution, not "&amp;TEXT(Settings!$B$4,"0%"),"")))</f>
        <v/>
      </c>
    </row>
    <row r="40" customFormat="false" ht="15" hidden="false" customHeight="false" outlineLevel="0" collapsed="false">
      <c r="A40" s="20" t="str">
        <f aca="false">IF($B40="","",33)</f>
        <v/>
      </c>
      <c r="B40" s="21"/>
      <c r="C40" s="22"/>
      <c r="D40" s="23" t="str">
        <f aca="false">IF($B40="","",$C40/1000)</f>
        <v/>
      </c>
      <c r="E40" s="24" t="str">
        <f aca="false">IF($B40="","",$D40*$C$4)</f>
        <v/>
      </c>
      <c r="F40" s="25" t="str">
        <f aca="false">IF($B40="","",IF($E40&lt;=0,"NEITHER — zero",IF($E40&gt;=Settings!$B$19,Settings!$B$6,IF($E40&gt;Settings!$B$14,"NEITHER — over bench capacity",IF($E40&gt;=2*Settings!$B$12,Settings!$B$11,"NEITHER — under bench resolution")))))</f>
        <v/>
      </c>
      <c r="G40" s="24" t="str">
        <f aca="false">IF($B40="","",IF($F40=Settings!$B$6,MAX(2*Settings!$B$7,Settings!$B$4*$E40),IF($F40=Settings!$B$11,MAX(2*Settings!$B$12,Settings!$B$4*$E40),"")))</f>
        <v/>
      </c>
      <c r="H40" s="26" t="str">
        <f aca="false">IF($B40="","",IF(LEFT($F40,7)="NEITHER","Cannot be weighed — split it, premix it, or raise the batch size",IF($G40&gt;Settings!$B$4*$E40+0.0001,"Held to the scale's resolution, not "&amp;TEXT(Settings!$B$4,"0%"),"")))</f>
        <v/>
      </c>
    </row>
    <row r="41" customFormat="false" ht="15" hidden="false" customHeight="false" outlineLevel="0" collapsed="false">
      <c r="A41" s="20" t="str">
        <f aca="false">IF($B41="","",34)</f>
        <v/>
      </c>
      <c r="B41" s="21"/>
      <c r="C41" s="22"/>
      <c r="D41" s="23" t="str">
        <f aca="false">IF($B41="","",$C41/1000)</f>
        <v/>
      </c>
      <c r="E41" s="24" t="str">
        <f aca="false">IF($B41="","",$D41*$C$4)</f>
        <v/>
      </c>
      <c r="F41" s="25" t="str">
        <f aca="false">IF($B41="","",IF($E41&lt;=0,"NEITHER — zero",IF($E41&gt;=Settings!$B$19,Settings!$B$6,IF($E41&gt;Settings!$B$14,"NEITHER — over bench capacity",IF($E41&gt;=2*Settings!$B$12,Settings!$B$11,"NEITHER — under bench resolution")))))</f>
        <v/>
      </c>
      <c r="G41" s="24" t="str">
        <f aca="false">IF($B41="","",IF($F41=Settings!$B$6,MAX(2*Settings!$B$7,Settings!$B$4*$E41),IF($F41=Settings!$B$11,MAX(2*Settings!$B$12,Settings!$B$4*$E41),"")))</f>
        <v/>
      </c>
      <c r="H41" s="26" t="str">
        <f aca="false">IF($B41="","",IF(LEFT($F41,7)="NEITHER","Cannot be weighed — split it, premix it, or raise the batch size",IF($G41&gt;Settings!$B$4*$E41+0.0001,"Held to the scale's resolution, not "&amp;TEXT(Settings!$B$4,"0%"),"")))</f>
        <v/>
      </c>
    </row>
    <row r="42" customFormat="false" ht="15" hidden="false" customHeight="false" outlineLevel="0" collapsed="false">
      <c r="A42" s="20" t="str">
        <f aca="false">IF($B42="","",35)</f>
        <v/>
      </c>
      <c r="B42" s="21"/>
      <c r="C42" s="22"/>
      <c r="D42" s="23" t="str">
        <f aca="false">IF($B42="","",$C42/1000)</f>
        <v/>
      </c>
      <c r="E42" s="24" t="str">
        <f aca="false">IF($B42="","",$D42*$C$4)</f>
        <v/>
      </c>
      <c r="F42" s="25" t="str">
        <f aca="false">IF($B42="","",IF($E42&lt;=0,"NEITHER — zero",IF($E42&gt;=Settings!$B$19,Settings!$B$6,IF($E42&gt;Settings!$B$14,"NEITHER — over bench capacity",IF($E42&gt;=2*Settings!$B$12,Settings!$B$11,"NEITHER — under bench resolution")))))</f>
        <v/>
      </c>
      <c r="G42" s="24" t="str">
        <f aca="false">IF($B42="","",IF($F42=Settings!$B$6,MAX(2*Settings!$B$7,Settings!$B$4*$E42),IF($F42=Settings!$B$11,MAX(2*Settings!$B$12,Settings!$B$4*$E42),"")))</f>
        <v/>
      </c>
      <c r="H42" s="26" t="str">
        <f aca="false">IF($B42="","",IF(LEFT($F42,7)="NEITHER","Cannot be weighed — split it, premix it, or raise the batch size",IF($G42&gt;Settings!$B$4*$E42+0.0001,"Held to the scale's resolution, not "&amp;TEXT(Settings!$B$4,"0%"),"")))</f>
        <v/>
      </c>
    </row>
    <row r="43" customFormat="false" ht="15" hidden="false" customHeight="false" outlineLevel="0" collapsed="false">
      <c r="A43" s="20" t="str">
        <f aca="false">IF($B43="","",36)</f>
        <v/>
      </c>
      <c r="B43" s="21"/>
      <c r="C43" s="22"/>
      <c r="D43" s="23" t="str">
        <f aca="false">IF($B43="","",$C43/1000)</f>
        <v/>
      </c>
      <c r="E43" s="24" t="str">
        <f aca="false">IF($B43="","",$D43*$C$4)</f>
        <v/>
      </c>
      <c r="F43" s="25" t="str">
        <f aca="false">IF($B43="","",IF($E43&lt;=0,"NEITHER — zero",IF($E43&gt;=Settings!$B$19,Settings!$B$6,IF($E43&gt;Settings!$B$14,"NEITHER — over bench capacity",IF($E43&gt;=2*Settings!$B$12,Settings!$B$11,"NEITHER — under bench resolution")))))</f>
        <v/>
      </c>
      <c r="G43" s="24" t="str">
        <f aca="false">IF($B43="","",IF($F43=Settings!$B$6,MAX(2*Settings!$B$7,Settings!$B$4*$E43),IF($F43=Settings!$B$11,MAX(2*Settings!$B$12,Settings!$B$4*$E43),"")))</f>
        <v/>
      </c>
      <c r="H43" s="26" t="str">
        <f aca="false">IF($B43="","",IF(LEFT($F43,7)="NEITHER","Cannot be weighed — split it, premix it, or raise the batch size",IF($G43&gt;Settings!$B$4*$E43+0.0001,"Held to the scale's resolution, not "&amp;TEXT(Settings!$B$4,"0%"),"")))</f>
        <v/>
      </c>
    </row>
    <row r="44" customFormat="false" ht="15" hidden="false" customHeight="false" outlineLevel="0" collapsed="false">
      <c r="A44" s="20" t="str">
        <f aca="false">IF($B44="","",37)</f>
        <v/>
      </c>
      <c r="B44" s="21"/>
      <c r="C44" s="22"/>
      <c r="D44" s="23" t="str">
        <f aca="false">IF($B44="","",$C44/1000)</f>
        <v/>
      </c>
      <c r="E44" s="24" t="str">
        <f aca="false">IF($B44="","",$D44*$C$4)</f>
        <v/>
      </c>
      <c r="F44" s="25" t="str">
        <f aca="false">IF($B44="","",IF($E44&lt;=0,"NEITHER — zero",IF($E44&gt;=Settings!$B$19,Settings!$B$6,IF($E44&gt;Settings!$B$14,"NEITHER — over bench capacity",IF($E44&gt;=2*Settings!$B$12,Settings!$B$11,"NEITHER — under bench resolution")))))</f>
        <v/>
      </c>
      <c r="G44" s="24" t="str">
        <f aca="false">IF($B44="","",IF($F44=Settings!$B$6,MAX(2*Settings!$B$7,Settings!$B$4*$E44),IF($F44=Settings!$B$11,MAX(2*Settings!$B$12,Settings!$B$4*$E44),"")))</f>
        <v/>
      </c>
      <c r="H44" s="26" t="str">
        <f aca="false">IF($B44="","",IF(LEFT($F44,7)="NEITHER","Cannot be weighed — split it, premix it, or raise the batch size",IF($G44&gt;Settings!$B$4*$E44+0.0001,"Held to the scale's resolution, not "&amp;TEXT(Settings!$B$4,"0%"),"")))</f>
        <v/>
      </c>
    </row>
    <row r="45" customFormat="false" ht="15" hidden="false" customHeight="false" outlineLevel="0" collapsed="false">
      <c r="A45" s="20" t="str">
        <f aca="false">IF($B45="","",38)</f>
        <v/>
      </c>
      <c r="B45" s="21"/>
      <c r="C45" s="22"/>
      <c r="D45" s="23" t="str">
        <f aca="false">IF($B45="","",$C45/1000)</f>
        <v/>
      </c>
      <c r="E45" s="24" t="str">
        <f aca="false">IF($B45="","",$D45*$C$4)</f>
        <v/>
      </c>
      <c r="F45" s="25" t="str">
        <f aca="false">IF($B45="","",IF($E45&lt;=0,"NEITHER — zero",IF($E45&gt;=Settings!$B$19,Settings!$B$6,IF($E45&gt;Settings!$B$14,"NEITHER — over bench capacity",IF($E45&gt;=2*Settings!$B$12,Settings!$B$11,"NEITHER — under bench resolution")))))</f>
        <v/>
      </c>
      <c r="G45" s="24" t="str">
        <f aca="false">IF($B45="","",IF($F45=Settings!$B$6,MAX(2*Settings!$B$7,Settings!$B$4*$E45),IF($F45=Settings!$B$11,MAX(2*Settings!$B$12,Settings!$B$4*$E45),"")))</f>
        <v/>
      </c>
      <c r="H45" s="26" t="str">
        <f aca="false">IF($B45="","",IF(LEFT($F45,7)="NEITHER","Cannot be weighed — split it, premix it, or raise the batch size",IF($G45&gt;Settings!$B$4*$E45+0.0001,"Held to the scale's resolution, not "&amp;TEXT(Settings!$B$4,"0%"),"")))</f>
        <v/>
      </c>
    </row>
    <row r="46" customFormat="false" ht="15" hidden="false" customHeight="false" outlineLevel="0" collapsed="false">
      <c r="A46" s="20" t="str">
        <f aca="false">IF($B46="","",39)</f>
        <v/>
      </c>
      <c r="B46" s="21"/>
      <c r="C46" s="22"/>
      <c r="D46" s="23" t="str">
        <f aca="false">IF($B46="","",$C46/1000)</f>
        <v/>
      </c>
      <c r="E46" s="24" t="str">
        <f aca="false">IF($B46="","",$D46*$C$4)</f>
        <v/>
      </c>
      <c r="F46" s="25" t="str">
        <f aca="false">IF($B46="","",IF($E46&lt;=0,"NEITHER — zero",IF($E46&gt;=Settings!$B$19,Settings!$B$6,IF($E46&gt;Settings!$B$14,"NEITHER — over bench capacity",IF($E46&gt;=2*Settings!$B$12,Settings!$B$11,"NEITHER — under bench resolution")))))</f>
        <v/>
      </c>
      <c r="G46" s="24" t="str">
        <f aca="false">IF($B46="","",IF($F46=Settings!$B$6,MAX(2*Settings!$B$7,Settings!$B$4*$E46),IF($F46=Settings!$B$11,MAX(2*Settings!$B$12,Settings!$B$4*$E46),"")))</f>
        <v/>
      </c>
      <c r="H46" s="26" t="str">
        <f aca="false">IF($B46="","",IF(LEFT($F46,7)="NEITHER","Cannot be weighed — split it, premix it, or raise the batch size",IF($G46&gt;Settings!$B$4*$E46+0.0001,"Held to the scale's resolution, not "&amp;TEXT(Settings!$B$4,"0%"),"")))</f>
        <v/>
      </c>
    </row>
    <row r="47" customFormat="false" ht="15" hidden="false" customHeight="false" outlineLevel="0" collapsed="false">
      <c r="A47" s="20" t="str">
        <f aca="false">IF($B47="","",40)</f>
        <v/>
      </c>
      <c r="B47" s="21"/>
      <c r="C47" s="22"/>
      <c r="D47" s="23" t="str">
        <f aca="false">IF($B47="","",$C47/1000)</f>
        <v/>
      </c>
      <c r="E47" s="24" t="str">
        <f aca="false">IF($B47="","",$D47*$C$4)</f>
        <v/>
      </c>
      <c r="F47" s="25" t="str">
        <f aca="false">IF($B47="","",IF($E47&lt;=0,"NEITHER — zero",IF($E47&gt;=Settings!$B$19,Settings!$B$6,IF($E47&gt;Settings!$B$14,"NEITHER — over bench capacity",IF($E47&gt;=2*Settings!$B$12,Settings!$B$11,"NEITHER — under bench resolution")))))</f>
        <v/>
      </c>
      <c r="G47" s="24" t="str">
        <f aca="false">IF($B47="","",IF($F47=Settings!$B$6,MAX(2*Settings!$B$7,Settings!$B$4*$E47),IF($F47=Settings!$B$11,MAX(2*Settings!$B$12,Settings!$B$4*$E47),"")))</f>
        <v/>
      </c>
      <c r="H47" s="26" t="str">
        <f aca="false">IF($B47="","",IF(LEFT($F47,7)="NEITHER","Cannot be weighed — split it, premix it, or raise the batch size",IF($G47&gt;Settings!$B$4*$E47+0.0001,"Held to the scale's resolution, not "&amp;TEXT(Settings!$B$4,"0%"),"")))</f>
        <v/>
      </c>
    </row>
    <row r="49" customFormat="false" ht="15" hidden="false" customHeight="false" outlineLevel="0" collapsed="false">
      <c r="B49" s="27" t="s">
        <v>77</v>
      </c>
      <c r="C49" s="28" t="n">
        <f aca="false">SUM(C8:C47)</f>
        <v>7.5</v>
      </c>
      <c r="D49" s="29" t="n">
        <f aca="false">SUM(D8:D47)</f>
        <v>0.0075</v>
      </c>
      <c r="E49" s="28" t="n">
        <f aca="false">SUM(E8:E47)</f>
        <v>24</v>
      </c>
    </row>
    <row r="50" customFormat="false" ht="15" hidden="false" customHeight="false" outlineLevel="0" collapsed="false">
      <c r="B50" s="5" t="s">
        <v>78</v>
      </c>
      <c r="E50" s="30" t="n">
        <f aca="false">$C$4+E49</f>
        <v>3224</v>
      </c>
    </row>
    <row r="52" customFormat="false" ht="15" hidden="false" customHeight="false" outlineLevel="0" collapsed="false">
      <c r="B52" s="15" t="str">
        <f aca="false">IF(COUNTIF($F$8:$F$47,"NEITHER*")=0,"All ingredients can be weighed.","WARNING: "&amp;COUNTIF($F$8:$F$47,"NEITHER*")&amp;" ingredient(s) cannot be weighed on either scale — see the Note column.")</f>
        <v>All ingredients can be weighed.</v>
      </c>
      <c r="C52" s="15"/>
      <c r="D52" s="15"/>
      <c r="E52" s="15"/>
      <c r="F52" s="15"/>
      <c r="G52" s="15"/>
      <c r="H52" s="15"/>
    </row>
  </sheetData>
  <mergeCells count="11">
    <mergeCell ref="A1:H1"/>
    <mergeCell ref="A2:H2"/>
    <mergeCell ref="A4:B4"/>
    <mergeCell ref="D4:H4"/>
    <mergeCell ref="A5:B5"/>
    <mergeCell ref="D5:E5"/>
    <mergeCell ref="F5:H5"/>
    <mergeCell ref="A6:B6"/>
    <mergeCell ref="D6:E6"/>
    <mergeCell ref="F6:H6"/>
    <mergeCell ref="B52:H52"/>
  </mergeCells>
  <conditionalFormatting sqref="B52:H52">
    <cfRule type="expression" priority="2" aboveAverage="0" equalAverage="0" bottom="0" percent="0" rank="0" text="" dxfId="0">
      <formula>LEFT($B$52,5)="ERROR"</formula>
    </cfRule>
  </conditionalFormatting>
  <conditionalFormatting sqref="A8:H47">
    <cfRule type="expression" priority="3" aboveAverage="0" equalAverage="0" bottom="0" percent="0" rank="0" text="" dxfId="1">
      <formula>LEFT($F8,7)="NEITHER"</formula>
    </cfRule>
    <cfRule type="expression" priority="4" aboveAverage="0" equalAverage="0" bottom="0" percent="0" rank="0" text="" dxfId="2">
      <formula>AND($B8&lt;&gt;"",$H8&lt;&gt;"")</formula>
    </cfRule>
  </conditionalFormatting>
  <dataValidations count="1">
    <dataValidation allowBlank="true" errorStyle="stop" operator="between" showDropDown="false" showErrorMessage="false" showInputMessage="false" sqref="B8:B47" type="list">
      <formula1>IngredientList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90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45</v>
      </c>
      <c r="B4" s="16"/>
      <c r="C4" s="17" t="n">
        <v>3200</v>
      </c>
      <c r="D4" s="2" t="s">
        <v>46</v>
      </c>
      <c r="E4" s="2"/>
      <c r="F4" s="2"/>
      <c r="G4" s="2"/>
      <c r="H4" s="2"/>
    </row>
    <row r="5" customFormat="false" ht="15" hidden="false" customHeight="false" outlineLevel="0" collapsed="false">
      <c r="A5" s="16" t="s">
        <v>47</v>
      </c>
      <c r="B5" s="16"/>
      <c r="C5" s="8" t="s">
        <v>91</v>
      </c>
      <c r="D5" s="16" t="s">
        <v>49</v>
      </c>
      <c r="E5" s="16"/>
      <c r="F5" s="18" t="s">
        <v>50</v>
      </c>
      <c r="G5" s="18"/>
      <c r="H5" s="18"/>
    </row>
    <row r="6" customFormat="false" ht="15" hidden="false" customHeight="false" outlineLevel="0" collapsed="false">
      <c r="A6" s="16" t="s">
        <v>51</v>
      </c>
      <c r="B6" s="16"/>
      <c r="C6" s="8" t="s">
        <v>81</v>
      </c>
      <c r="D6" s="16" t="s">
        <v>52</v>
      </c>
      <c r="E6" s="16"/>
      <c r="F6" s="18" t="s">
        <v>82</v>
      </c>
      <c r="G6" s="18"/>
      <c r="H6" s="18"/>
    </row>
    <row r="7" customFormat="false" ht="23.85" hidden="false" customHeight="false" outlineLevel="0" collapsed="false">
      <c r="A7" s="19" t="s">
        <v>53</v>
      </c>
      <c r="B7" s="19" t="s">
        <v>54</v>
      </c>
      <c r="C7" s="19" t="s">
        <v>55</v>
      </c>
      <c r="D7" s="19" t="s">
        <v>56</v>
      </c>
      <c r="E7" s="19" t="s">
        <v>57</v>
      </c>
      <c r="F7" s="19" t="s">
        <v>58</v>
      </c>
      <c r="G7" s="19" t="s">
        <v>59</v>
      </c>
      <c r="H7" s="19" t="s">
        <v>60</v>
      </c>
    </row>
    <row r="8" customFormat="false" ht="15" hidden="false" customHeight="false" outlineLevel="0" collapsed="false">
      <c r="A8" s="20" t="n">
        <f aca="false">IF($B8="","",1)</f>
        <v>1</v>
      </c>
      <c r="B8" s="31" t="s">
        <v>83</v>
      </c>
      <c r="C8" s="32" t="n">
        <v>7.5</v>
      </c>
      <c r="D8" s="23" t="n">
        <f aca="false">IF($B8="","",$C8/1000)</f>
        <v>0.0075</v>
      </c>
      <c r="E8" s="24" t="n">
        <f aca="false">IF($B8="","",$D8*$C$4)</f>
        <v>24</v>
      </c>
      <c r="F8" s="25" t="str">
        <f aca="false">IF($B8="","",IF($E8&lt;=0,"NEITHER — zero",IF($E8&gt;=Settings!$B$19,Settings!$B$6,IF($E8&gt;Settings!$B$14,"NEITHER — over bench capacity",IF($E8&gt;=2*Settings!$B$12,Settings!$B$11,"NEITHER — under bench resolution")))))</f>
        <v>Bench scale</v>
      </c>
      <c r="G8" s="24" t="n">
        <f aca="false">IF($B8="","",IF($F8=Settings!$B$6,MAX(2*Settings!$B$7,Settings!$B$4*$E8),IF($F8=Settings!$B$11,MAX(2*Settings!$B$12,Settings!$B$4*$E8),"")))</f>
        <v>0.48</v>
      </c>
      <c r="H8" s="33" t="str">
        <f aca="false">IF($B8="","",IF(LEFT($F8,7)="NEITHER","Cannot be weighed — split it, premix it, or raise the batch size",IF($G8&gt;Settings!$B$4*$E8+0.0001,"Held to the scale's resolution, not "&amp;TEXT(Settings!$B$4,"0%"),"")))</f>
        <v/>
      </c>
    </row>
    <row r="9" customFormat="false" ht="15" hidden="false" customHeight="false" outlineLevel="0" collapsed="false">
      <c r="A9" s="20" t="str">
        <f aca="false">IF($B9="","",2)</f>
        <v/>
      </c>
      <c r="B9" s="21"/>
      <c r="C9" s="22"/>
      <c r="D9" s="23" t="str">
        <f aca="false">IF($B9="","",$C9/1000)</f>
        <v/>
      </c>
      <c r="E9" s="24" t="str">
        <f aca="false">IF($B9="","",$D9*$C$4)</f>
        <v/>
      </c>
      <c r="F9" s="25" t="str">
        <f aca="false">IF($B9="","",IF($E9&lt;=0,"NEITHER — zero",IF($E9&gt;=Settings!$B$19,Settings!$B$6,IF($E9&gt;Settings!$B$14,"NEITHER — over bench capacity",IF($E9&gt;=2*Settings!$B$12,Settings!$B$11,"NEITHER — under bench resolution")))))</f>
        <v/>
      </c>
      <c r="G9" s="24" t="str">
        <f aca="false">IF($B9="","",IF($F9=Settings!$B$6,MAX(2*Settings!$B$7,Settings!$B$4*$E9),IF($F9=Settings!$B$11,MAX(2*Settings!$B$12,Settings!$B$4*$E9),"")))</f>
        <v/>
      </c>
      <c r="H9" s="26" t="str">
        <f aca="false">IF($B9="","",IF(LEFT($F9,7)="NEITHER","Cannot be weighed — split it, premix it, or raise the batch size",IF($G9&gt;Settings!$B$4*$E9+0.0001,"Held to the scale's resolution, not "&amp;TEXT(Settings!$B$4,"0%"),"")))</f>
        <v/>
      </c>
    </row>
    <row r="10" customFormat="false" ht="15" hidden="false" customHeight="false" outlineLevel="0" collapsed="false">
      <c r="A10" s="20" t="str">
        <f aca="false">IF($B10="","",3)</f>
        <v/>
      </c>
      <c r="B10" s="21"/>
      <c r="C10" s="22"/>
      <c r="D10" s="23" t="str">
        <f aca="false">IF($B10="","",$C10/1000)</f>
        <v/>
      </c>
      <c r="E10" s="24" t="str">
        <f aca="false">IF($B10="","",$D10*$C$4)</f>
        <v/>
      </c>
      <c r="F10" s="25" t="str">
        <f aca="false">IF($B10="","",IF($E10&lt;=0,"NEITHER — zero",IF($E10&gt;=Settings!$B$19,Settings!$B$6,IF($E10&gt;Settings!$B$14,"NEITHER — over bench capacity",IF($E10&gt;=2*Settings!$B$12,Settings!$B$11,"NEITHER — under bench resolution")))))</f>
        <v/>
      </c>
      <c r="G10" s="24" t="str">
        <f aca="false">IF($B10="","",IF($F10=Settings!$B$6,MAX(2*Settings!$B$7,Settings!$B$4*$E10),IF($F10=Settings!$B$11,MAX(2*Settings!$B$12,Settings!$B$4*$E10),"")))</f>
        <v/>
      </c>
      <c r="H10" s="26" t="str">
        <f aca="false">IF($B10="","",IF(LEFT($F10,7)="NEITHER","Cannot be weighed — split it, premix it, or raise the batch size",IF($G10&gt;Settings!$B$4*$E10+0.0001,"Held to the scale's resolution, not "&amp;TEXT(Settings!$B$4,"0%"),"")))</f>
        <v/>
      </c>
    </row>
    <row r="11" customFormat="false" ht="15" hidden="false" customHeight="false" outlineLevel="0" collapsed="false">
      <c r="A11" s="20" t="str">
        <f aca="false">IF($B11="","",4)</f>
        <v/>
      </c>
      <c r="B11" s="21"/>
      <c r="C11" s="22"/>
      <c r="D11" s="23" t="str">
        <f aca="false">IF($B11="","",$C11/1000)</f>
        <v/>
      </c>
      <c r="E11" s="24" t="str">
        <f aca="false">IF($B11="","",$D11*$C$4)</f>
        <v/>
      </c>
      <c r="F11" s="25" t="str">
        <f aca="false">IF($B11="","",IF($E11&lt;=0,"NEITHER — zero",IF($E11&gt;=Settings!$B$19,Settings!$B$6,IF($E11&gt;Settings!$B$14,"NEITHER — over bench capacity",IF($E11&gt;=2*Settings!$B$12,Settings!$B$11,"NEITHER — under bench resolution")))))</f>
        <v/>
      </c>
      <c r="G11" s="24" t="str">
        <f aca="false">IF($B11="","",IF($F11=Settings!$B$6,MAX(2*Settings!$B$7,Settings!$B$4*$E11),IF($F11=Settings!$B$11,MAX(2*Settings!$B$12,Settings!$B$4*$E11),"")))</f>
        <v/>
      </c>
      <c r="H11" s="26" t="str">
        <f aca="false">IF($B11="","",IF(LEFT($F11,7)="NEITHER","Cannot be weighed — split it, premix it, or raise the batch size",IF($G11&gt;Settings!$B$4*$E11+0.0001,"Held to the scale's resolution, not "&amp;TEXT(Settings!$B$4,"0%"),"")))</f>
        <v/>
      </c>
    </row>
    <row r="12" customFormat="false" ht="15" hidden="false" customHeight="false" outlineLevel="0" collapsed="false">
      <c r="A12" s="20" t="str">
        <f aca="false">IF($B12="","",5)</f>
        <v/>
      </c>
      <c r="B12" s="21"/>
      <c r="C12" s="22"/>
      <c r="D12" s="23" t="str">
        <f aca="false">IF($B12="","",$C12/1000)</f>
        <v/>
      </c>
      <c r="E12" s="24" t="str">
        <f aca="false">IF($B12="","",$D12*$C$4)</f>
        <v/>
      </c>
      <c r="F12" s="25" t="str">
        <f aca="false">IF($B12="","",IF($E12&lt;=0,"NEITHER — zero",IF($E12&gt;=Settings!$B$19,Settings!$B$6,IF($E12&gt;Settings!$B$14,"NEITHER — over bench capacity",IF($E12&gt;=2*Settings!$B$12,Settings!$B$11,"NEITHER — under bench resolution")))))</f>
        <v/>
      </c>
      <c r="G12" s="24" t="str">
        <f aca="false">IF($B12="","",IF($F12=Settings!$B$6,MAX(2*Settings!$B$7,Settings!$B$4*$E12),IF($F12=Settings!$B$11,MAX(2*Settings!$B$12,Settings!$B$4*$E12),"")))</f>
        <v/>
      </c>
      <c r="H12" s="26" t="str">
        <f aca="false">IF($B12="","",IF(LEFT($F12,7)="NEITHER","Cannot be weighed — split it, premix it, or raise the batch size",IF($G12&gt;Settings!$B$4*$E12+0.0001,"Held to the scale's resolution, not "&amp;TEXT(Settings!$B$4,"0%"),"")))</f>
        <v/>
      </c>
    </row>
    <row r="13" customFormat="false" ht="15" hidden="false" customHeight="false" outlineLevel="0" collapsed="false">
      <c r="A13" s="20" t="str">
        <f aca="false">IF($B13="","",6)</f>
        <v/>
      </c>
      <c r="B13" s="21"/>
      <c r="C13" s="22"/>
      <c r="D13" s="23" t="str">
        <f aca="false">IF($B13="","",$C13/1000)</f>
        <v/>
      </c>
      <c r="E13" s="24" t="str">
        <f aca="false">IF($B13="","",$D13*$C$4)</f>
        <v/>
      </c>
      <c r="F13" s="25" t="str">
        <f aca="false">IF($B13="","",IF($E13&lt;=0,"NEITHER — zero",IF($E13&gt;=Settings!$B$19,Settings!$B$6,IF($E13&gt;Settings!$B$14,"NEITHER — over bench capacity",IF($E13&gt;=2*Settings!$B$12,Settings!$B$11,"NEITHER — under bench resolution")))))</f>
        <v/>
      </c>
      <c r="G13" s="24" t="str">
        <f aca="false">IF($B13="","",IF($F13=Settings!$B$6,MAX(2*Settings!$B$7,Settings!$B$4*$E13),IF($F13=Settings!$B$11,MAX(2*Settings!$B$12,Settings!$B$4*$E13),"")))</f>
        <v/>
      </c>
      <c r="H13" s="26" t="str">
        <f aca="false">IF($B13="","",IF(LEFT($F13,7)="NEITHER","Cannot be weighed — split it, premix it, or raise the batch size",IF($G13&gt;Settings!$B$4*$E13+0.0001,"Held to the scale's resolution, not "&amp;TEXT(Settings!$B$4,"0%"),"")))</f>
        <v/>
      </c>
    </row>
    <row r="14" customFormat="false" ht="15" hidden="false" customHeight="false" outlineLevel="0" collapsed="false">
      <c r="A14" s="20" t="str">
        <f aca="false">IF($B14="","",7)</f>
        <v/>
      </c>
      <c r="B14" s="21"/>
      <c r="C14" s="22"/>
      <c r="D14" s="23" t="str">
        <f aca="false">IF($B14="","",$C14/1000)</f>
        <v/>
      </c>
      <c r="E14" s="24" t="str">
        <f aca="false">IF($B14="","",$D14*$C$4)</f>
        <v/>
      </c>
      <c r="F14" s="25" t="str">
        <f aca="false">IF($B14="","",IF($E14&lt;=0,"NEITHER — zero",IF($E14&gt;=Settings!$B$19,Settings!$B$6,IF($E14&gt;Settings!$B$14,"NEITHER — over bench capacity",IF($E14&gt;=2*Settings!$B$12,Settings!$B$11,"NEITHER — under bench resolution")))))</f>
        <v/>
      </c>
      <c r="G14" s="24" t="str">
        <f aca="false">IF($B14="","",IF($F14=Settings!$B$6,MAX(2*Settings!$B$7,Settings!$B$4*$E14),IF($F14=Settings!$B$11,MAX(2*Settings!$B$12,Settings!$B$4*$E14),"")))</f>
        <v/>
      </c>
      <c r="H14" s="26" t="str">
        <f aca="false">IF($B14="","",IF(LEFT($F14,7)="NEITHER","Cannot be weighed — split it, premix it, or raise the batch size",IF($G14&gt;Settings!$B$4*$E14+0.0001,"Held to the scale's resolution, not "&amp;TEXT(Settings!$B$4,"0%"),"")))</f>
        <v/>
      </c>
    </row>
    <row r="15" customFormat="false" ht="15" hidden="false" customHeight="false" outlineLevel="0" collapsed="false">
      <c r="A15" s="20" t="str">
        <f aca="false">IF($B15="","",8)</f>
        <v/>
      </c>
      <c r="B15" s="21"/>
      <c r="C15" s="22"/>
      <c r="D15" s="23" t="str">
        <f aca="false">IF($B15="","",$C15/1000)</f>
        <v/>
      </c>
      <c r="E15" s="24" t="str">
        <f aca="false">IF($B15="","",$D15*$C$4)</f>
        <v/>
      </c>
      <c r="F15" s="25" t="str">
        <f aca="false">IF($B15="","",IF($E15&lt;=0,"NEITHER — zero",IF($E15&gt;=Settings!$B$19,Settings!$B$6,IF($E15&gt;Settings!$B$14,"NEITHER — over bench capacity",IF($E15&gt;=2*Settings!$B$12,Settings!$B$11,"NEITHER — under bench resolution")))))</f>
        <v/>
      </c>
      <c r="G15" s="24" t="str">
        <f aca="false">IF($B15="","",IF($F15=Settings!$B$6,MAX(2*Settings!$B$7,Settings!$B$4*$E15),IF($F15=Settings!$B$11,MAX(2*Settings!$B$12,Settings!$B$4*$E15),"")))</f>
        <v/>
      </c>
      <c r="H15" s="26" t="str">
        <f aca="false">IF($B15="","",IF(LEFT($F15,7)="NEITHER","Cannot be weighed — split it, premix it, or raise the batch size",IF($G15&gt;Settings!$B$4*$E15+0.0001,"Held to the scale's resolution, not "&amp;TEXT(Settings!$B$4,"0%"),"")))</f>
        <v/>
      </c>
    </row>
    <row r="16" customFormat="false" ht="15" hidden="false" customHeight="false" outlineLevel="0" collapsed="false">
      <c r="A16" s="20" t="str">
        <f aca="false">IF($B16="","",9)</f>
        <v/>
      </c>
      <c r="B16" s="21"/>
      <c r="C16" s="22"/>
      <c r="D16" s="23" t="str">
        <f aca="false">IF($B16="","",$C16/1000)</f>
        <v/>
      </c>
      <c r="E16" s="24" t="str">
        <f aca="false">IF($B16="","",$D16*$C$4)</f>
        <v/>
      </c>
      <c r="F16" s="25" t="str">
        <f aca="false">IF($B16="","",IF($E16&lt;=0,"NEITHER — zero",IF($E16&gt;=Settings!$B$19,Settings!$B$6,IF($E16&gt;Settings!$B$14,"NEITHER — over bench capacity",IF($E16&gt;=2*Settings!$B$12,Settings!$B$11,"NEITHER — under bench resolution")))))</f>
        <v/>
      </c>
      <c r="G16" s="24" t="str">
        <f aca="false">IF($B16="","",IF($F16=Settings!$B$6,MAX(2*Settings!$B$7,Settings!$B$4*$E16),IF($F16=Settings!$B$11,MAX(2*Settings!$B$12,Settings!$B$4*$E16),"")))</f>
        <v/>
      </c>
      <c r="H16" s="26" t="str">
        <f aca="false">IF($B16="","",IF(LEFT($F16,7)="NEITHER","Cannot be weighed — split it, premix it, or raise the batch size",IF($G16&gt;Settings!$B$4*$E16+0.0001,"Held to the scale's resolution, not "&amp;TEXT(Settings!$B$4,"0%"),"")))</f>
        <v/>
      </c>
    </row>
    <row r="17" customFormat="false" ht="15" hidden="false" customHeight="false" outlineLevel="0" collapsed="false">
      <c r="A17" s="20" t="str">
        <f aca="false">IF($B17="","",10)</f>
        <v/>
      </c>
      <c r="B17" s="21"/>
      <c r="C17" s="22"/>
      <c r="D17" s="23" t="str">
        <f aca="false">IF($B17="","",$C17/1000)</f>
        <v/>
      </c>
      <c r="E17" s="24" t="str">
        <f aca="false">IF($B17="","",$D17*$C$4)</f>
        <v/>
      </c>
      <c r="F17" s="25" t="str">
        <f aca="false">IF($B17="","",IF($E17&lt;=0,"NEITHER — zero",IF($E17&gt;=Settings!$B$19,Settings!$B$6,IF($E17&gt;Settings!$B$14,"NEITHER — over bench capacity",IF($E17&gt;=2*Settings!$B$12,Settings!$B$11,"NEITHER — under bench resolution")))))</f>
        <v/>
      </c>
      <c r="G17" s="24" t="str">
        <f aca="false">IF($B17="","",IF($F17=Settings!$B$6,MAX(2*Settings!$B$7,Settings!$B$4*$E17),IF($F17=Settings!$B$11,MAX(2*Settings!$B$12,Settings!$B$4*$E17),"")))</f>
        <v/>
      </c>
      <c r="H17" s="26" t="str">
        <f aca="false">IF($B17="","",IF(LEFT($F17,7)="NEITHER","Cannot be weighed — split it, premix it, or raise the batch size",IF($G17&gt;Settings!$B$4*$E17+0.0001,"Held to the scale's resolution, not "&amp;TEXT(Settings!$B$4,"0%"),"")))</f>
        <v/>
      </c>
    </row>
    <row r="18" customFormat="false" ht="15" hidden="false" customHeight="false" outlineLevel="0" collapsed="false">
      <c r="A18" s="20" t="str">
        <f aca="false">IF($B18="","",11)</f>
        <v/>
      </c>
      <c r="B18" s="21"/>
      <c r="C18" s="22"/>
      <c r="D18" s="23" t="str">
        <f aca="false">IF($B18="","",$C18/1000)</f>
        <v/>
      </c>
      <c r="E18" s="24" t="str">
        <f aca="false">IF($B18="","",$D18*$C$4)</f>
        <v/>
      </c>
      <c r="F18" s="25" t="str">
        <f aca="false">IF($B18="","",IF($E18&lt;=0,"NEITHER — zero",IF($E18&gt;=Settings!$B$19,Settings!$B$6,IF($E18&gt;Settings!$B$14,"NEITHER — over bench capacity",IF($E18&gt;=2*Settings!$B$12,Settings!$B$11,"NEITHER — under bench resolution")))))</f>
        <v/>
      </c>
      <c r="G18" s="24" t="str">
        <f aca="false">IF($B18="","",IF($F18=Settings!$B$6,MAX(2*Settings!$B$7,Settings!$B$4*$E18),IF($F18=Settings!$B$11,MAX(2*Settings!$B$12,Settings!$B$4*$E18),"")))</f>
        <v/>
      </c>
      <c r="H18" s="26" t="str">
        <f aca="false">IF($B18="","",IF(LEFT($F18,7)="NEITHER","Cannot be weighed — split it, premix it, or raise the batch size",IF($G18&gt;Settings!$B$4*$E18+0.0001,"Held to the scale's resolution, not "&amp;TEXT(Settings!$B$4,"0%"),"")))</f>
        <v/>
      </c>
    </row>
    <row r="19" customFormat="false" ht="15" hidden="false" customHeight="false" outlineLevel="0" collapsed="false">
      <c r="A19" s="20" t="str">
        <f aca="false">IF($B19="","",12)</f>
        <v/>
      </c>
      <c r="B19" s="21"/>
      <c r="C19" s="22"/>
      <c r="D19" s="23" t="str">
        <f aca="false">IF($B19="","",$C19/1000)</f>
        <v/>
      </c>
      <c r="E19" s="24" t="str">
        <f aca="false">IF($B19="","",$D19*$C$4)</f>
        <v/>
      </c>
      <c r="F19" s="25" t="str">
        <f aca="false">IF($B19="","",IF($E19&lt;=0,"NEITHER — zero",IF($E19&gt;=Settings!$B$19,Settings!$B$6,IF($E19&gt;Settings!$B$14,"NEITHER — over bench capacity",IF($E19&gt;=2*Settings!$B$12,Settings!$B$11,"NEITHER — under bench resolution")))))</f>
        <v/>
      </c>
      <c r="G19" s="24" t="str">
        <f aca="false">IF($B19="","",IF($F19=Settings!$B$6,MAX(2*Settings!$B$7,Settings!$B$4*$E19),IF($F19=Settings!$B$11,MAX(2*Settings!$B$12,Settings!$B$4*$E19),"")))</f>
        <v/>
      </c>
      <c r="H19" s="26" t="str">
        <f aca="false">IF($B19="","",IF(LEFT($F19,7)="NEITHER","Cannot be weighed — split it, premix it, or raise the batch size",IF($G19&gt;Settings!$B$4*$E19+0.0001,"Held to the scale's resolution, not "&amp;TEXT(Settings!$B$4,"0%"),"")))</f>
        <v/>
      </c>
    </row>
    <row r="20" customFormat="false" ht="15" hidden="false" customHeight="false" outlineLevel="0" collapsed="false">
      <c r="A20" s="20" t="str">
        <f aca="false">IF($B20="","",13)</f>
        <v/>
      </c>
      <c r="B20" s="21"/>
      <c r="C20" s="22"/>
      <c r="D20" s="23" t="str">
        <f aca="false">IF($B20="","",$C20/1000)</f>
        <v/>
      </c>
      <c r="E20" s="24" t="str">
        <f aca="false">IF($B20="","",$D20*$C$4)</f>
        <v/>
      </c>
      <c r="F20" s="25" t="str">
        <f aca="false">IF($B20="","",IF($E20&lt;=0,"NEITHER — zero",IF($E20&gt;=Settings!$B$19,Settings!$B$6,IF($E20&gt;Settings!$B$14,"NEITHER — over bench capacity",IF($E20&gt;=2*Settings!$B$12,Settings!$B$11,"NEITHER — under bench resolution")))))</f>
        <v/>
      </c>
      <c r="G20" s="24" t="str">
        <f aca="false">IF($B20="","",IF($F20=Settings!$B$6,MAX(2*Settings!$B$7,Settings!$B$4*$E20),IF($F20=Settings!$B$11,MAX(2*Settings!$B$12,Settings!$B$4*$E20),"")))</f>
        <v/>
      </c>
      <c r="H20" s="26" t="str">
        <f aca="false">IF($B20="","",IF(LEFT($F20,7)="NEITHER","Cannot be weighed — split it, premix it, or raise the batch size",IF($G20&gt;Settings!$B$4*$E20+0.0001,"Held to the scale's resolution, not "&amp;TEXT(Settings!$B$4,"0%"),"")))</f>
        <v/>
      </c>
    </row>
    <row r="21" customFormat="false" ht="15" hidden="false" customHeight="false" outlineLevel="0" collapsed="false">
      <c r="A21" s="20" t="str">
        <f aca="false">IF($B21="","",14)</f>
        <v/>
      </c>
      <c r="B21" s="21"/>
      <c r="C21" s="22"/>
      <c r="D21" s="23" t="str">
        <f aca="false">IF($B21="","",$C21/1000)</f>
        <v/>
      </c>
      <c r="E21" s="24" t="str">
        <f aca="false">IF($B21="","",$D21*$C$4)</f>
        <v/>
      </c>
      <c r="F21" s="25" t="str">
        <f aca="false">IF($B21="","",IF($E21&lt;=0,"NEITHER — zero",IF($E21&gt;=Settings!$B$19,Settings!$B$6,IF($E21&gt;Settings!$B$14,"NEITHER — over bench capacity",IF($E21&gt;=2*Settings!$B$12,Settings!$B$11,"NEITHER — under bench resolution")))))</f>
        <v/>
      </c>
      <c r="G21" s="24" t="str">
        <f aca="false">IF($B21="","",IF($F21=Settings!$B$6,MAX(2*Settings!$B$7,Settings!$B$4*$E21),IF($F21=Settings!$B$11,MAX(2*Settings!$B$12,Settings!$B$4*$E21),"")))</f>
        <v/>
      </c>
      <c r="H21" s="26" t="str">
        <f aca="false">IF($B21="","",IF(LEFT($F21,7)="NEITHER","Cannot be weighed — split it, premix it, or raise the batch size",IF($G21&gt;Settings!$B$4*$E21+0.0001,"Held to the scale's resolution, not "&amp;TEXT(Settings!$B$4,"0%"),"")))</f>
        <v/>
      </c>
    </row>
    <row r="22" customFormat="false" ht="15" hidden="false" customHeight="false" outlineLevel="0" collapsed="false">
      <c r="A22" s="20" t="str">
        <f aca="false">IF($B22="","",15)</f>
        <v/>
      </c>
      <c r="B22" s="21"/>
      <c r="C22" s="22"/>
      <c r="D22" s="23" t="str">
        <f aca="false">IF($B22="","",$C22/1000)</f>
        <v/>
      </c>
      <c r="E22" s="24" t="str">
        <f aca="false">IF($B22="","",$D22*$C$4)</f>
        <v/>
      </c>
      <c r="F22" s="25" t="str">
        <f aca="false">IF($B22="","",IF($E22&lt;=0,"NEITHER — zero",IF($E22&gt;=Settings!$B$19,Settings!$B$6,IF($E22&gt;Settings!$B$14,"NEITHER — over bench capacity",IF($E22&gt;=2*Settings!$B$12,Settings!$B$11,"NEITHER — under bench resolution")))))</f>
        <v/>
      </c>
      <c r="G22" s="24" t="str">
        <f aca="false">IF($B22="","",IF($F22=Settings!$B$6,MAX(2*Settings!$B$7,Settings!$B$4*$E22),IF($F22=Settings!$B$11,MAX(2*Settings!$B$12,Settings!$B$4*$E22),"")))</f>
        <v/>
      </c>
      <c r="H22" s="26" t="str">
        <f aca="false">IF($B22="","",IF(LEFT($F22,7)="NEITHER","Cannot be weighed — split it, premix it, or raise the batch size",IF($G22&gt;Settings!$B$4*$E22+0.0001,"Held to the scale's resolution, not "&amp;TEXT(Settings!$B$4,"0%"),"")))</f>
        <v/>
      </c>
    </row>
    <row r="23" customFormat="false" ht="15" hidden="false" customHeight="false" outlineLevel="0" collapsed="false">
      <c r="A23" s="20" t="str">
        <f aca="false">IF($B23="","",16)</f>
        <v/>
      </c>
      <c r="B23" s="21"/>
      <c r="C23" s="22"/>
      <c r="D23" s="23" t="str">
        <f aca="false">IF($B23="","",$C23/1000)</f>
        <v/>
      </c>
      <c r="E23" s="24" t="str">
        <f aca="false">IF($B23="","",$D23*$C$4)</f>
        <v/>
      </c>
      <c r="F23" s="25" t="str">
        <f aca="false">IF($B23="","",IF($E23&lt;=0,"NEITHER — zero",IF($E23&gt;=Settings!$B$19,Settings!$B$6,IF($E23&gt;Settings!$B$14,"NEITHER — over bench capacity",IF($E23&gt;=2*Settings!$B$12,Settings!$B$11,"NEITHER — under bench resolution")))))</f>
        <v/>
      </c>
      <c r="G23" s="24" t="str">
        <f aca="false">IF($B23="","",IF($F23=Settings!$B$6,MAX(2*Settings!$B$7,Settings!$B$4*$E23),IF($F23=Settings!$B$11,MAX(2*Settings!$B$12,Settings!$B$4*$E23),"")))</f>
        <v/>
      </c>
      <c r="H23" s="26" t="str">
        <f aca="false">IF($B23="","",IF(LEFT($F23,7)="NEITHER","Cannot be weighed — split it, premix it, or raise the batch size",IF($G23&gt;Settings!$B$4*$E23+0.0001,"Held to the scale's resolution, not "&amp;TEXT(Settings!$B$4,"0%"),"")))</f>
        <v/>
      </c>
    </row>
    <row r="24" customFormat="false" ht="15" hidden="false" customHeight="false" outlineLevel="0" collapsed="false">
      <c r="A24" s="20" t="str">
        <f aca="false">IF($B24="","",17)</f>
        <v/>
      </c>
      <c r="B24" s="21"/>
      <c r="C24" s="22"/>
      <c r="D24" s="23" t="str">
        <f aca="false">IF($B24="","",$C24/1000)</f>
        <v/>
      </c>
      <c r="E24" s="24" t="str">
        <f aca="false">IF($B24="","",$D24*$C$4)</f>
        <v/>
      </c>
      <c r="F24" s="25" t="str">
        <f aca="false">IF($B24="","",IF($E24&lt;=0,"NEITHER — zero",IF($E24&gt;=Settings!$B$19,Settings!$B$6,IF($E24&gt;Settings!$B$14,"NEITHER — over bench capacity",IF($E24&gt;=2*Settings!$B$12,Settings!$B$11,"NEITHER — under bench resolution")))))</f>
        <v/>
      </c>
      <c r="G24" s="24" t="str">
        <f aca="false">IF($B24="","",IF($F24=Settings!$B$6,MAX(2*Settings!$B$7,Settings!$B$4*$E24),IF($F24=Settings!$B$11,MAX(2*Settings!$B$12,Settings!$B$4*$E24),"")))</f>
        <v/>
      </c>
      <c r="H24" s="26" t="str">
        <f aca="false">IF($B24="","",IF(LEFT($F24,7)="NEITHER","Cannot be weighed — split it, premix it, or raise the batch size",IF($G24&gt;Settings!$B$4*$E24+0.0001,"Held to the scale's resolution, not "&amp;TEXT(Settings!$B$4,"0%"),"")))</f>
        <v/>
      </c>
    </row>
    <row r="25" customFormat="false" ht="15" hidden="false" customHeight="false" outlineLevel="0" collapsed="false">
      <c r="A25" s="20" t="str">
        <f aca="false">IF($B25="","",18)</f>
        <v/>
      </c>
      <c r="B25" s="21"/>
      <c r="C25" s="22"/>
      <c r="D25" s="23" t="str">
        <f aca="false">IF($B25="","",$C25/1000)</f>
        <v/>
      </c>
      <c r="E25" s="24" t="str">
        <f aca="false">IF($B25="","",$D25*$C$4)</f>
        <v/>
      </c>
      <c r="F25" s="25" t="str">
        <f aca="false">IF($B25="","",IF($E25&lt;=0,"NEITHER — zero",IF($E25&gt;=Settings!$B$19,Settings!$B$6,IF($E25&gt;Settings!$B$14,"NEITHER — over bench capacity",IF($E25&gt;=2*Settings!$B$12,Settings!$B$11,"NEITHER — under bench resolution")))))</f>
        <v/>
      </c>
      <c r="G25" s="24" t="str">
        <f aca="false">IF($B25="","",IF($F25=Settings!$B$6,MAX(2*Settings!$B$7,Settings!$B$4*$E25),IF($F25=Settings!$B$11,MAX(2*Settings!$B$12,Settings!$B$4*$E25),"")))</f>
        <v/>
      </c>
      <c r="H25" s="26" t="str">
        <f aca="false">IF($B25="","",IF(LEFT($F25,7)="NEITHER","Cannot be weighed — split it, premix it, or raise the batch size",IF($G25&gt;Settings!$B$4*$E25+0.0001,"Held to the scale's resolution, not "&amp;TEXT(Settings!$B$4,"0%"),"")))</f>
        <v/>
      </c>
    </row>
    <row r="26" customFormat="false" ht="15" hidden="false" customHeight="false" outlineLevel="0" collapsed="false">
      <c r="A26" s="20" t="str">
        <f aca="false">IF($B26="","",19)</f>
        <v/>
      </c>
      <c r="B26" s="21"/>
      <c r="C26" s="22"/>
      <c r="D26" s="23" t="str">
        <f aca="false">IF($B26="","",$C26/1000)</f>
        <v/>
      </c>
      <c r="E26" s="24" t="str">
        <f aca="false">IF($B26="","",$D26*$C$4)</f>
        <v/>
      </c>
      <c r="F26" s="25" t="str">
        <f aca="false">IF($B26="","",IF($E26&lt;=0,"NEITHER — zero",IF($E26&gt;=Settings!$B$19,Settings!$B$6,IF($E26&gt;Settings!$B$14,"NEITHER — over bench capacity",IF($E26&gt;=2*Settings!$B$12,Settings!$B$11,"NEITHER — under bench resolution")))))</f>
        <v/>
      </c>
      <c r="G26" s="24" t="str">
        <f aca="false">IF($B26="","",IF($F26=Settings!$B$6,MAX(2*Settings!$B$7,Settings!$B$4*$E26),IF($F26=Settings!$B$11,MAX(2*Settings!$B$12,Settings!$B$4*$E26),"")))</f>
        <v/>
      </c>
      <c r="H26" s="26" t="str">
        <f aca="false">IF($B26="","",IF(LEFT($F26,7)="NEITHER","Cannot be weighed — split it, premix it, or raise the batch size",IF($G26&gt;Settings!$B$4*$E26+0.0001,"Held to the scale's resolution, not "&amp;TEXT(Settings!$B$4,"0%"),"")))</f>
        <v/>
      </c>
    </row>
    <row r="27" customFormat="false" ht="15" hidden="false" customHeight="false" outlineLevel="0" collapsed="false">
      <c r="A27" s="20" t="str">
        <f aca="false">IF($B27="","",20)</f>
        <v/>
      </c>
      <c r="B27" s="21"/>
      <c r="C27" s="22"/>
      <c r="D27" s="23" t="str">
        <f aca="false">IF($B27="","",$C27/1000)</f>
        <v/>
      </c>
      <c r="E27" s="24" t="str">
        <f aca="false">IF($B27="","",$D27*$C$4)</f>
        <v/>
      </c>
      <c r="F27" s="25" t="str">
        <f aca="false">IF($B27="","",IF($E27&lt;=0,"NEITHER — zero",IF($E27&gt;=Settings!$B$19,Settings!$B$6,IF($E27&gt;Settings!$B$14,"NEITHER — over bench capacity",IF($E27&gt;=2*Settings!$B$12,Settings!$B$11,"NEITHER — under bench resolution")))))</f>
        <v/>
      </c>
      <c r="G27" s="24" t="str">
        <f aca="false">IF($B27="","",IF($F27=Settings!$B$6,MAX(2*Settings!$B$7,Settings!$B$4*$E27),IF($F27=Settings!$B$11,MAX(2*Settings!$B$12,Settings!$B$4*$E27),"")))</f>
        <v/>
      </c>
      <c r="H27" s="26" t="str">
        <f aca="false">IF($B27="","",IF(LEFT($F27,7)="NEITHER","Cannot be weighed — split it, premix it, or raise the batch size",IF($G27&gt;Settings!$B$4*$E27+0.0001,"Held to the scale's resolution, not "&amp;TEXT(Settings!$B$4,"0%"),"")))</f>
        <v/>
      </c>
    </row>
    <row r="28" customFormat="false" ht="15" hidden="false" customHeight="false" outlineLevel="0" collapsed="false">
      <c r="A28" s="20" t="str">
        <f aca="false">IF($B28="","",21)</f>
        <v/>
      </c>
      <c r="B28" s="21"/>
      <c r="C28" s="22"/>
      <c r="D28" s="23" t="str">
        <f aca="false">IF($B28="","",$C28/1000)</f>
        <v/>
      </c>
      <c r="E28" s="24" t="str">
        <f aca="false">IF($B28="","",$D28*$C$4)</f>
        <v/>
      </c>
      <c r="F28" s="25" t="str">
        <f aca="false">IF($B28="","",IF($E28&lt;=0,"NEITHER — zero",IF($E28&gt;=Settings!$B$19,Settings!$B$6,IF($E28&gt;Settings!$B$14,"NEITHER — over bench capacity",IF($E28&gt;=2*Settings!$B$12,Settings!$B$11,"NEITHER — under bench resolution")))))</f>
        <v/>
      </c>
      <c r="G28" s="24" t="str">
        <f aca="false">IF($B28="","",IF($F28=Settings!$B$6,MAX(2*Settings!$B$7,Settings!$B$4*$E28),IF($F28=Settings!$B$11,MAX(2*Settings!$B$12,Settings!$B$4*$E28),"")))</f>
        <v/>
      </c>
      <c r="H28" s="26" t="str">
        <f aca="false">IF($B28="","",IF(LEFT($F28,7)="NEITHER","Cannot be weighed — split it, premix it, or raise the batch size",IF($G28&gt;Settings!$B$4*$E28+0.0001,"Held to the scale's resolution, not "&amp;TEXT(Settings!$B$4,"0%"),"")))</f>
        <v/>
      </c>
    </row>
    <row r="29" customFormat="false" ht="15" hidden="false" customHeight="false" outlineLevel="0" collapsed="false">
      <c r="A29" s="20" t="str">
        <f aca="false">IF($B29="","",22)</f>
        <v/>
      </c>
      <c r="B29" s="21"/>
      <c r="C29" s="22"/>
      <c r="D29" s="23" t="str">
        <f aca="false">IF($B29="","",$C29/1000)</f>
        <v/>
      </c>
      <c r="E29" s="24" t="str">
        <f aca="false">IF($B29="","",$D29*$C$4)</f>
        <v/>
      </c>
      <c r="F29" s="25" t="str">
        <f aca="false">IF($B29="","",IF($E29&lt;=0,"NEITHER — zero",IF($E29&gt;=Settings!$B$19,Settings!$B$6,IF($E29&gt;Settings!$B$14,"NEITHER — over bench capacity",IF($E29&gt;=2*Settings!$B$12,Settings!$B$11,"NEITHER — under bench resolution")))))</f>
        <v/>
      </c>
      <c r="G29" s="24" t="str">
        <f aca="false">IF($B29="","",IF($F29=Settings!$B$6,MAX(2*Settings!$B$7,Settings!$B$4*$E29),IF($F29=Settings!$B$11,MAX(2*Settings!$B$12,Settings!$B$4*$E29),"")))</f>
        <v/>
      </c>
      <c r="H29" s="26" t="str">
        <f aca="false">IF($B29="","",IF(LEFT($F29,7)="NEITHER","Cannot be weighed — split it, premix it, or raise the batch size",IF($G29&gt;Settings!$B$4*$E29+0.0001,"Held to the scale's resolution, not "&amp;TEXT(Settings!$B$4,"0%"),"")))</f>
        <v/>
      </c>
    </row>
    <row r="30" customFormat="false" ht="15" hidden="false" customHeight="false" outlineLevel="0" collapsed="false">
      <c r="A30" s="20" t="str">
        <f aca="false">IF($B30="","",23)</f>
        <v/>
      </c>
      <c r="B30" s="21"/>
      <c r="C30" s="22"/>
      <c r="D30" s="23" t="str">
        <f aca="false">IF($B30="","",$C30/1000)</f>
        <v/>
      </c>
      <c r="E30" s="24" t="str">
        <f aca="false">IF($B30="","",$D30*$C$4)</f>
        <v/>
      </c>
      <c r="F30" s="25" t="str">
        <f aca="false">IF($B30="","",IF($E30&lt;=0,"NEITHER — zero",IF($E30&gt;=Settings!$B$19,Settings!$B$6,IF($E30&gt;Settings!$B$14,"NEITHER — over bench capacity",IF($E30&gt;=2*Settings!$B$12,Settings!$B$11,"NEITHER — under bench resolution")))))</f>
        <v/>
      </c>
      <c r="G30" s="24" t="str">
        <f aca="false">IF($B30="","",IF($F30=Settings!$B$6,MAX(2*Settings!$B$7,Settings!$B$4*$E30),IF($F30=Settings!$B$11,MAX(2*Settings!$B$12,Settings!$B$4*$E30),"")))</f>
        <v/>
      </c>
      <c r="H30" s="26" t="str">
        <f aca="false">IF($B30="","",IF(LEFT($F30,7)="NEITHER","Cannot be weighed — split it, premix it, or raise the batch size",IF($G30&gt;Settings!$B$4*$E30+0.0001,"Held to the scale's resolution, not "&amp;TEXT(Settings!$B$4,"0%"),"")))</f>
        <v/>
      </c>
    </row>
    <row r="31" customFormat="false" ht="15" hidden="false" customHeight="false" outlineLevel="0" collapsed="false">
      <c r="A31" s="20" t="str">
        <f aca="false">IF($B31="","",24)</f>
        <v/>
      </c>
      <c r="B31" s="21"/>
      <c r="C31" s="22"/>
      <c r="D31" s="23" t="str">
        <f aca="false">IF($B31="","",$C31/1000)</f>
        <v/>
      </c>
      <c r="E31" s="24" t="str">
        <f aca="false">IF($B31="","",$D31*$C$4)</f>
        <v/>
      </c>
      <c r="F31" s="25" t="str">
        <f aca="false">IF($B31="","",IF($E31&lt;=0,"NEITHER — zero",IF($E31&gt;=Settings!$B$19,Settings!$B$6,IF($E31&gt;Settings!$B$14,"NEITHER — over bench capacity",IF($E31&gt;=2*Settings!$B$12,Settings!$B$11,"NEITHER — under bench resolution")))))</f>
        <v/>
      </c>
      <c r="G31" s="24" t="str">
        <f aca="false">IF($B31="","",IF($F31=Settings!$B$6,MAX(2*Settings!$B$7,Settings!$B$4*$E31),IF($F31=Settings!$B$11,MAX(2*Settings!$B$12,Settings!$B$4*$E31),"")))</f>
        <v/>
      </c>
      <c r="H31" s="26" t="str">
        <f aca="false">IF($B31="","",IF(LEFT($F31,7)="NEITHER","Cannot be weighed — split it, premix it, or raise the batch size",IF($G31&gt;Settings!$B$4*$E31+0.0001,"Held to the scale's resolution, not "&amp;TEXT(Settings!$B$4,"0%"),"")))</f>
        <v/>
      </c>
    </row>
    <row r="32" customFormat="false" ht="15" hidden="false" customHeight="false" outlineLevel="0" collapsed="false">
      <c r="A32" s="20" t="str">
        <f aca="false">IF($B32="","",25)</f>
        <v/>
      </c>
      <c r="B32" s="21"/>
      <c r="C32" s="22"/>
      <c r="D32" s="23" t="str">
        <f aca="false">IF($B32="","",$C32/1000)</f>
        <v/>
      </c>
      <c r="E32" s="24" t="str">
        <f aca="false">IF($B32="","",$D32*$C$4)</f>
        <v/>
      </c>
      <c r="F32" s="25" t="str">
        <f aca="false">IF($B32="","",IF($E32&lt;=0,"NEITHER — zero",IF($E32&gt;=Settings!$B$19,Settings!$B$6,IF($E32&gt;Settings!$B$14,"NEITHER — over bench capacity",IF($E32&gt;=2*Settings!$B$12,Settings!$B$11,"NEITHER — under bench resolution")))))</f>
        <v/>
      </c>
      <c r="G32" s="24" t="str">
        <f aca="false">IF($B32="","",IF($F32=Settings!$B$6,MAX(2*Settings!$B$7,Settings!$B$4*$E32),IF($F32=Settings!$B$11,MAX(2*Settings!$B$12,Settings!$B$4*$E32),"")))</f>
        <v/>
      </c>
      <c r="H32" s="26" t="str">
        <f aca="false">IF($B32="","",IF(LEFT($F32,7)="NEITHER","Cannot be weighed — split it, premix it, or raise the batch size",IF($G32&gt;Settings!$B$4*$E32+0.0001,"Held to the scale's resolution, not "&amp;TEXT(Settings!$B$4,"0%"),"")))</f>
        <v/>
      </c>
    </row>
    <row r="33" customFormat="false" ht="15" hidden="false" customHeight="false" outlineLevel="0" collapsed="false">
      <c r="A33" s="20" t="str">
        <f aca="false">IF($B33="","",26)</f>
        <v/>
      </c>
      <c r="B33" s="21"/>
      <c r="C33" s="22"/>
      <c r="D33" s="23" t="str">
        <f aca="false">IF($B33="","",$C33/1000)</f>
        <v/>
      </c>
      <c r="E33" s="24" t="str">
        <f aca="false">IF($B33="","",$D33*$C$4)</f>
        <v/>
      </c>
      <c r="F33" s="25" t="str">
        <f aca="false">IF($B33="","",IF($E33&lt;=0,"NEITHER — zero",IF($E33&gt;=Settings!$B$19,Settings!$B$6,IF($E33&gt;Settings!$B$14,"NEITHER — over bench capacity",IF($E33&gt;=2*Settings!$B$12,Settings!$B$11,"NEITHER — under bench resolution")))))</f>
        <v/>
      </c>
      <c r="G33" s="24" t="str">
        <f aca="false">IF($B33="","",IF($F33=Settings!$B$6,MAX(2*Settings!$B$7,Settings!$B$4*$E33),IF($F33=Settings!$B$11,MAX(2*Settings!$B$12,Settings!$B$4*$E33),"")))</f>
        <v/>
      </c>
      <c r="H33" s="26" t="str">
        <f aca="false">IF($B33="","",IF(LEFT($F33,7)="NEITHER","Cannot be weighed — split it, premix it, or raise the batch size",IF($G33&gt;Settings!$B$4*$E33+0.0001,"Held to the scale's resolution, not "&amp;TEXT(Settings!$B$4,"0%"),"")))</f>
        <v/>
      </c>
    </row>
    <row r="34" customFormat="false" ht="15" hidden="false" customHeight="false" outlineLevel="0" collapsed="false">
      <c r="A34" s="20" t="str">
        <f aca="false">IF($B34="","",27)</f>
        <v/>
      </c>
      <c r="B34" s="21"/>
      <c r="C34" s="22"/>
      <c r="D34" s="23" t="str">
        <f aca="false">IF($B34="","",$C34/1000)</f>
        <v/>
      </c>
      <c r="E34" s="24" t="str">
        <f aca="false">IF($B34="","",$D34*$C$4)</f>
        <v/>
      </c>
      <c r="F34" s="25" t="str">
        <f aca="false">IF($B34="","",IF($E34&lt;=0,"NEITHER — zero",IF($E34&gt;=Settings!$B$19,Settings!$B$6,IF($E34&gt;Settings!$B$14,"NEITHER — over bench capacity",IF($E34&gt;=2*Settings!$B$12,Settings!$B$11,"NEITHER — under bench resolution")))))</f>
        <v/>
      </c>
      <c r="G34" s="24" t="str">
        <f aca="false">IF($B34="","",IF($F34=Settings!$B$6,MAX(2*Settings!$B$7,Settings!$B$4*$E34),IF($F34=Settings!$B$11,MAX(2*Settings!$B$12,Settings!$B$4*$E34),"")))</f>
        <v/>
      </c>
      <c r="H34" s="26" t="str">
        <f aca="false">IF($B34="","",IF(LEFT($F34,7)="NEITHER","Cannot be weighed — split it, premix it, or raise the batch size",IF($G34&gt;Settings!$B$4*$E34+0.0001,"Held to the scale's resolution, not "&amp;TEXT(Settings!$B$4,"0%"),"")))</f>
        <v/>
      </c>
    </row>
    <row r="35" customFormat="false" ht="15" hidden="false" customHeight="false" outlineLevel="0" collapsed="false">
      <c r="A35" s="20" t="str">
        <f aca="false">IF($B35="","",28)</f>
        <v/>
      </c>
      <c r="B35" s="21"/>
      <c r="C35" s="22"/>
      <c r="D35" s="23" t="str">
        <f aca="false">IF($B35="","",$C35/1000)</f>
        <v/>
      </c>
      <c r="E35" s="24" t="str">
        <f aca="false">IF($B35="","",$D35*$C$4)</f>
        <v/>
      </c>
      <c r="F35" s="25" t="str">
        <f aca="false">IF($B35="","",IF($E35&lt;=0,"NEITHER — zero",IF($E35&gt;=Settings!$B$19,Settings!$B$6,IF($E35&gt;Settings!$B$14,"NEITHER — over bench capacity",IF($E35&gt;=2*Settings!$B$12,Settings!$B$11,"NEITHER — under bench resolution")))))</f>
        <v/>
      </c>
      <c r="G35" s="24" t="str">
        <f aca="false">IF($B35="","",IF($F35=Settings!$B$6,MAX(2*Settings!$B$7,Settings!$B$4*$E35),IF($F35=Settings!$B$11,MAX(2*Settings!$B$12,Settings!$B$4*$E35),"")))</f>
        <v/>
      </c>
      <c r="H35" s="26" t="str">
        <f aca="false">IF($B35="","",IF(LEFT($F35,7)="NEITHER","Cannot be weighed — split it, premix it, or raise the batch size",IF($G35&gt;Settings!$B$4*$E35+0.0001,"Held to the scale's resolution, not "&amp;TEXT(Settings!$B$4,"0%"),"")))</f>
        <v/>
      </c>
    </row>
    <row r="36" customFormat="false" ht="15" hidden="false" customHeight="false" outlineLevel="0" collapsed="false">
      <c r="A36" s="20" t="str">
        <f aca="false">IF($B36="","",29)</f>
        <v/>
      </c>
      <c r="B36" s="21"/>
      <c r="C36" s="22"/>
      <c r="D36" s="23" t="str">
        <f aca="false">IF($B36="","",$C36/1000)</f>
        <v/>
      </c>
      <c r="E36" s="24" t="str">
        <f aca="false">IF($B36="","",$D36*$C$4)</f>
        <v/>
      </c>
      <c r="F36" s="25" t="str">
        <f aca="false">IF($B36="","",IF($E36&lt;=0,"NEITHER — zero",IF($E36&gt;=Settings!$B$19,Settings!$B$6,IF($E36&gt;Settings!$B$14,"NEITHER — over bench capacity",IF($E36&gt;=2*Settings!$B$12,Settings!$B$11,"NEITHER — under bench resolution")))))</f>
        <v/>
      </c>
      <c r="G36" s="24" t="str">
        <f aca="false">IF($B36="","",IF($F36=Settings!$B$6,MAX(2*Settings!$B$7,Settings!$B$4*$E36),IF($F36=Settings!$B$11,MAX(2*Settings!$B$12,Settings!$B$4*$E36),"")))</f>
        <v/>
      </c>
      <c r="H36" s="26" t="str">
        <f aca="false">IF($B36="","",IF(LEFT($F36,7)="NEITHER","Cannot be weighed — split it, premix it, or raise the batch size",IF($G36&gt;Settings!$B$4*$E36+0.0001,"Held to the scale's resolution, not "&amp;TEXT(Settings!$B$4,"0%"),"")))</f>
        <v/>
      </c>
    </row>
    <row r="37" customFormat="false" ht="15" hidden="false" customHeight="false" outlineLevel="0" collapsed="false">
      <c r="A37" s="20" t="str">
        <f aca="false">IF($B37="","",30)</f>
        <v/>
      </c>
      <c r="B37" s="21"/>
      <c r="C37" s="22"/>
      <c r="D37" s="23" t="str">
        <f aca="false">IF($B37="","",$C37/1000)</f>
        <v/>
      </c>
      <c r="E37" s="24" t="str">
        <f aca="false">IF($B37="","",$D37*$C$4)</f>
        <v/>
      </c>
      <c r="F37" s="25" t="str">
        <f aca="false">IF($B37="","",IF($E37&lt;=0,"NEITHER — zero",IF($E37&gt;=Settings!$B$19,Settings!$B$6,IF($E37&gt;Settings!$B$14,"NEITHER — over bench capacity",IF($E37&gt;=2*Settings!$B$12,Settings!$B$11,"NEITHER — under bench resolution")))))</f>
        <v/>
      </c>
      <c r="G37" s="24" t="str">
        <f aca="false">IF($B37="","",IF($F37=Settings!$B$6,MAX(2*Settings!$B$7,Settings!$B$4*$E37),IF($F37=Settings!$B$11,MAX(2*Settings!$B$12,Settings!$B$4*$E37),"")))</f>
        <v/>
      </c>
      <c r="H37" s="26" t="str">
        <f aca="false">IF($B37="","",IF(LEFT($F37,7)="NEITHER","Cannot be weighed — split it, premix it, or raise the batch size",IF($G37&gt;Settings!$B$4*$E37+0.0001,"Held to the scale's resolution, not "&amp;TEXT(Settings!$B$4,"0%"),"")))</f>
        <v/>
      </c>
    </row>
    <row r="38" customFormat="false" ht="15" hidden="false" customHeight="false" outlineLevel="0" collapsed="false">
      <c r="A38" s="20" t="str">
        <f aca="false">IF($B38="","",31)</f>
        <v/>
      </c>
      <c r="B38" s="21"/>
      <c r="C38" s="22"/>
      <c r="D38" s="23" t="str">
        <f aca="false">IF($B38="","",$C38/1000)</f>
        <v/>
      </c>
      <c r="E38" s="24" t="str">
        <f aca="false">IF($B38="","",$D38*$C$4)</f>
        <v/>
      </c>
      <c r="F38" s="25" t="str">
        <f aca="false">IF($B38="","",IF($E38&lt;=0,"NEITHER — zero",IF($E38&gt;=Settings!$B$19,Settings!$B$6,IF($E38&gt;Settings!$B$14,"NEITHER — over bench capacity",IF($E38&gt;=2*Settings!$B$12,Settings!$B$11,"NEITHER — under bench resolution")))))</f>
        <v/>
      </c>
      <c r="G38" s="24" t="str">
        <f aca="false">IF($B38="","",IF($F38=Settings!$B$6,MAX(2*Settings!$B$7,Settings!$B$4*$E38),IF($F38=Settings!$B$11,MAX(2*Settings!$B$12,Settings!$B$4*$E38),"")))</f>
        <v/>
      </c>
      <c r="H38" s="26" t="str">
        <f aca="false">IF($B38="","",IF(LEFT($F38,7)="NEITHER","Cannot be weighed — split it, premix it, or raise the batch size",IF($G38&gt;Settings!$B$4*$E38+0.0001,"Held to the scale's resolution, not "&amp;TEXT(Settings!$B$4,"0%"),"")))</f>
        <v/>
      </c>
    </row>
    <row r="39" customFormat="false" ht="15" hidden="false" customHeight="false" outlineLevel="0" collapsed="false">
      <c r="A39" s="20" t="str">
        <f aca="false">IF($B39="","",32)</f>
        <v/>
      </c>
      <c r="B39" s="21"/>
      <c r="C39" s="22"/>
      <c r="D39" s="23" t="str">
        <f aca="false">IF($B39="","",$C39/1000)</f>
        <v/>
      </c>
      <c r="E39" s="24" t="str">
        <f aca="false">IF($B39="","",$D39*$C$4)</f>
        <v/>
      </c>
      <c r="F39" s="25" t="str">
        <f aca="false">IF($B39="","",IF($E39&lt;=0,"NEITHER — zero",IF($E39&gt;=Settings!$B$19,Settings!$B$6,IF($E39&gt;Settings!$B$14,"NEITHER — over bench capacity",IF($E39&gt;=2*Settings!$B$12,Settings!$B$11,"NEITHER — under bench resolution")))))</f>
        <v/>
      </c>
      <c r="G39" s="24" t="str">
        <f aca="false">IF($B39="","",IF($F39=Settings!$B$6,MAX(2*Settings!$B$7,Settings!$B$4*$E39),IF($F39=Settings!$B$11,MAX(2*Settings!$B$12,Settings!$B$4*$E39),"")))</f>
        <v/>
      </c>
      <c r="H39" s="26" t="str">
        <f aca="false">IF($B39="","",IF(LEFT($F39,7)="NEITHER","Cannot be weighed — split it, premix it, or raise the batch size",IF($G39&gt;Settings!$B$4*$E39+0.0001,"Held to the scale's resolution, not "&amp;TEXT(Settings!$B$4,"0%"),"")))</f>
        <v/>
      </c>
    </row>
    <row r="40" customFormat="false" ht="15" hidden="false" customHeight="false" outlineLevel="0" collapsed="false">
      <c r="A40" s="20" t="str">
        <f aca="false">IF($B40="","",33)</f>
        <v/>
      </c>
      <c r="B40" s="21"/>
      <c r="C40" s="22"/>
      <c r="D40" s="23" t="str">
        <f aca="false">IF($B40="","",$C40/1000)</f>
        <v/>
      </c>
      <c r="E40" s="24" t="str">
        <f aca="false">IF($B40="","",$D40*$C$4)</f>
        <v/>
      </c>
      <c r="F40" s="25" t="str">
        <f aca="false">IF($B40="","",IF($E40&lt;=0,"NEITHER — zero",IF($E40&gt;=Settings!$B$19,Settings!$B$6,IF($E40&gt;Settings!$B$14,"NEITHER — over bench capacity",IF($E40&gt;=2*Settings!$B$12,Settings!$B$11,"NEITHER — under bench resolution")))))</f>
        <v/>
      </c>
      <c r="G40" s="24" t="str">
        <f aca="false">IF($B40="","",IF($F40=Settings!$B$6,MAX(2*Settings!$B$7,Settings!$B$4*$E40),IF($F40=Settings!$B$11,MAX(2*Settings!$B$12,Settings!$B$4*$E40),"")))</f>
        <v/>
      </c>
      <c r="H40" s="26" t="str">
        <f aca="false">IF($B40="","",IF(LEFT($F40,7)="NEITHER","Cannot be weighed — split it, premix it, or raise the batch size",IF($G40&gt;Settings!$B$4*$E40+0.0001,"Held to the scale's resolution, not "&amp;TEXT(Settings!$B$4,"0%"),"")))</f>
        <v/>
      </c>
    </row>
    <row r="41" customFormat="false" ht="15" hidden="false" customHeight="false" outlineLevel="0" collapsed="false">
      <c r="A41" s="20" t="str">
        <f aca="false">IF($B41="","",34)</f>
        <v/>
      </c>
      <c r="B41" s="21"/>
      <c r="C41" s="22"/>
      <c r="D41" s="23" t="str">
        <f aca="false">IF($B41="","",$C41/1000)</f>
        <v/>
      </c>
      <c r="E41" s="24" t="str">
        <f aca="false">IF($B41="","",$D41*$C$4)</f>
        <v/>
      </c>
      <c r="F41" s="25" t="str">
        <f aca="false">IF($B41="","",IF($E41&lt;=0,"NEITHER — zero",IF($E41&gt;=Settings!$B$19,Settings!$B$6,IF($E41&gt;Settings!$B$14,"NEITHER — over bench capacity",IF($E41&gt;=2*Settings!$B$12,Settings!$B$11,"NEITHER — under bench resolution")))))</f>
        <v/>
      </c>
      <c r="G41" s="24" t="str">
        <f aca="false">IF($B41="","",IF($F41=Settings!$B$6,MAX(2*Settings!$B$7,Settings!$B$4*$E41),IF($F41=Settings!$B$11,MAX(2*Settings!$B$12,Settings!$B$4*$E41),"")))</f>
        <v/>
      </c>
      <c r="H41" s="26" t="str">
        <f aca="false">IF($B41="","",IF(LEFT($F41,7)="NEITHER","Cannot be weighed — split it, premix it, or raise the batch size",IF($G41&gt;Settings!$B$4*$E41+0.0001,"Held to the scale's resolution, not "&amp;TEXT(Settings!$B$4,"0%"),"")))</f>
        <v/>
      </c>
    </row>
    <row r="42" customFormat="false" ht="15" hidden="false" customHeight="false" outlineLevel="0" collapsed="false">
      <c r="A42" s="20" t="str">
        <f aca="false">IF($B42="","",35)</f>
        <v/>
      </c>
      <c r="B42" s="21"/>
      <c r="C42" s="22"/>
      <c r="D42" s="23" t="str">
        <f aca="false">IF($B42="","",$C42/1000)</f>
        <v/>
      </c>
      <c r="E42" s="24" t="str">
        <f aca="false">IF($B42="","",$D42*$C$4)</f>
        <v/>
      </c>
      <c r="F42" s="25" t="str">
        <f aca="false">IF($B42="","",IF($E42&lt;=0,"NEITHER — zero",IF($E42&gt;=Settings!$B$19,Settings!$B$6,IF($E42&gt;Settings!$B$14,"NEITHER — over bench capacity",IF($E42&gt;=2*Settings!$B$12,Settings!$B$11,"NEITHER — under bench resolution")))))</f>
        <v/>
      </c>
      <c r="G42" s="24" t="str">
        <f aca="false">IF($B42="","",IF($F42=Settings!$B$6,MAX(2*Settings!$B$7,Settings!$B$4*$E42),IF($F42=Settings!$B$11,MAX(2*Settings!$B$12,Settings!$B$4*$E42),"")))</f>
        <v/>
      </c>
      <c r="H42" s="26" t="str">
        <f aca="false">IF($B42="","",IF(LEFT($F42,7)="NEITHER","Cannot be weighed — split it, premix it, or raise the batch size",IF($G42&gt;Settings!$B$4*$E42+0.0001,"Held to the scale's resolution, not "&amp;TEXT(Settings!$B$4,"0%"),"")))</f>
        <v/>
      </c>
    </row>
    <row r="43" customFormat="false" ht="15" hidden="false" customHeight="false" outlineLevel="0" collapsed="false">
      <c r="A43" s="20" t="str">
        <f aca="false">IF($B43="","",36)</f>
        <v/>
      </c>
      <c r="B43" s="21"/>
      <c r="C43" s="22"/>
      <c r="D43" s="23" t="str">
        <f aca="false">IF($B43="","",$C43/1000)</f>
        <v/>
      </c>
      <c r="E43" s="24" t="str">
        <f aca="false">IF($B43="","",$D43*$C$4)</f>
        <v/>
      </c>
      <c r="F43" s="25" t="str">
        <f aca="false">IF($B43="","",IF($E43&lt;=0,"NEITHER — zero",IF($E43&gt;=Settings!$B$19,Settings!$B$6,IF($E43&gt;Settings!$B$14,"NEITHER — over bench capacity",IF($E43&gt;=2*Settings!$B$12,Settings!$B$11,"NEITHER — under bench resolution")))))</f>
        <v/>
      </c>
      <c r="G43" s="24" t="str">
        <f aca="false">IF($B43="","",IF($F43=Settings!$B$6,MAX(2*Settings!$B$7,Settings!$B$4*$E43),IF($F43=Settings!$B$11,MAX(2*Settings!$B$12,Settings!$B$4*$E43),"")))</f>
        <v/>
      </c>
      <c r="H43" s="26" t="str">
        <f aca="false">IF($B43="","",IF(LEFT($F43,7)="NEITHER","Cannot be weighed — split it, premix it, or raise the batch size",IF($G43&gt;Settings!$B$4*$E43+0.0001,"Held to the scale's resolution, not "&amp;TEXT(Settings!$B$4,"0%"),"")))</f>
        <v/>
      </c>
    </row>
    <row r="44" customFormat="false" ht="15" hidden="false" customHeight="false" outlineLevel="0" collapsed="false">
      <c r="A44" s="20" t="str">
        <f aca="false">IF($B44="","",37)</f>
        <v/>
      </c>
      <c r="B44" s="21"/>
      <c r="C44" s="22"/>
      <c r="D44" s="23" t="str">
        <f aca="false">IF($B44="","",$C44/1000)</f>
        <v/>
      </c>
      <c r="E44" s="24" t="str">
        <f aca="false">IF($B44="","",$D44*$C$4)</f>
        <v/>
      </c>
      <c r="F44" s="25" t="str">
        <f aca="false">IF($B44="","",IF($E44&lt;=0,"NEITHER — zero",IF($E44&gt;=Settings!$B$19,Settings!$B$6,IF($E44&gt;Settings!$B$14,"NEITHER — over bench capacity",IF($E44&gt;=2*Settings!$B$12,Settings!$B$11,"NEITHER — under bench resolution")))))</f>
        <v/>
      </c>
      <c r="G44" s="24" t="str">
        <f aca="false">IF($B44="","",IF($F44=Settings!$B$6,MAX(2*Settings!$B$7,Settings!$B$4*$E44),IF($F44=Settings!$B$11,MAX(2*Settings!$B$12,Settings!$B$4*$E44),"")))</f>
        <v/>
      </c>
      <c r="H44" s="26" t="str">
        <f aca="false">IF($B44="","",IF(LEFT($F44,7)="NEITHER","Cannot be weighed — split it, premix it, or raise the batch size",IF($G44&gt;Settings!$B$4*$E44+0.0001,"Held to the scale's resolution, not "&amp;TEXT(Settings!$B$4,"0%"),"")))</f>
        <v/>
      </c>
    </row>
    <row r="45" customFormat="false" ht="15" hidden="false" customHeight="false" outlineLevel="0" collapsed="false">
      <c r="A45" s="20" t="str">
        <f aca="false">IF($B45="","",38)</f>
        <v/>
      </c>
      <c r="B45" s="21"/>
      <c r="C45" s="22"/>
      <c r="D45" s="23" t="str">
        <f aca="false">IF($B45="","",$C45/1000)</f>
        <v/>
      </c>
      <c r="E45" s="24" t="str">
        <f aca="false">IF($B45="","",$D45*$C$4)</f>
        <v/>
      </c>
      <c r="F45" s="25" t="str">
        <f aca="false">IF($B45="","",IF($E45&lt;=0,"NEITHER — zero",IF($E45&gt;=Settings!$B$19,Settings!$B$6,IF($E45&gt;Settings!$B$14,"NEITHER — over bench capacity",IF($E45&gt;=2*Settings!$B$12,Settings!$B$11,"NEITHER — under bench resolution")))))</f>
        <v/>
      </c>
      <c r="G45" s="24" t="str">
        <f aca="false">IF($B45="","",IF($F45=Settings!$B$6,MAX(2*Settings!$B$7,Settings!$B$4*$E45),IF($F45=Settings!$B$11,MAX(2*Settings!$B$12,Settings!$B$4*$E45),"")))</f>
        <v/>
      </c>
      <c r="H45" s="26" t="str">
        <f aca="false">IF($B45="","",IF(LEFT($F45,7)="NEITHER","Cannot be weighed — split it, premix it, or raise the batch size",IF($G45&gt;Settings!$B$4*$E45+0.0001,"Held to the scale's resolution, not "&amp;TEXT(Settings!$B$4,"0%"),"")))</f>
        <v/>
      </c>
    </row>
    <row r="46" customFormat="false" ht="15" hidden="false" customHeight="false" outlineLevel="0" collapsed="false">
      <c r="A46" s="20" t="str">
        <f aca="false">IF($B46="","",39)</f>
        <v/>
      </c>
      <c r="B46" s="21"/>
      <c r="C46" s="22"/>
      <c r="D46" s="23" t="str">
        <f aca="false">IF($B46="","",$C46/1000)</f>
        <v/>
      </c>
      <c r="E46" s="24" t="str">
        <f aca="false">IF($B46="","",$D46*$C$4)</f>
        <v/>
      </c>
      <c r="F46" s="25" t="str">
        <f aca="false">IF($B46="","",IF($E46&lt;=0,"NEITHER — zero",IF($E46&gt;=Settings!$B$19,Settings!$B$6,IF($E46&gt;Settings!$B$14,"NEITHER — over bench capacity",IF($E46&gt;=2*Settings!$B$12,Settings!$B$11,"NEITHER — under bench resolution")))))</f>
        <v/>
      </c>
      <c r="G46" s="24" t="str">
        <f aca="false">IF($B46="","",IF($F46=Settings!$B$6,MAX(2*Settings!$B$7,Settings!$B$4*$E46),IF($F46=Settings!$B$11,MAX(2*Settings!$B$12,Settings!$B$4*$E46),"")))</f>
        <v/>
      </c>
      <c r="H46" s="26" t="str">
        <f aca="false">IF($B46="","",IF(LEFT($F46,7)="NEITHER","Cannot be weighed — split it, premix it, or raise the batch size",IF($G46&gt;Settings!$B$4*$E46+0.0001,"Held to the scale's resolution, not "&amp;TEXT(Settings!$B$4,"0%"),"")))</f>
        <v/>
      </c>
    </row>
    <row r="47" customFormat="false" ht="15" hidden="false" customHeight="false" outlineLevel="0" collapsed="false">
      <c r="A47" s="20" t="str">
        <f aca="false">IF($B47="","",40)</f>
        <v/>
      </c>
      <c r="B47" s="21"/>
      <c r="C47" s="22"/>
      <c r="D47" s="23" t="str">
        <f aca="false">IF($B47="","",$C47/1000)</f>
        <v/>
      </c>
      <c r="E47" s="24" t="str">
        <f aca="false">IF($B47="","",$D47*$C$4)</f>
        <v/>
      </c>
      <c r="F47" s="25" t="str">
        <f aca="false">IF($B47="","",IF($E47&lt;=0,"NEITHER — zero",IF($E47&gt;=Settings!$B$19,Settings!$B$6,IF($E47&gt;Settings!$B$14,"NEITHER — over bench capacity",IF($E47&gt;=2*Settings!$B$12,Settings!$B$11,"NEITHER — under bench resolution")))))</f>
        <v/>
      </c>
      <c r="G47" s="24" t="str">
        <f aca="false">IF($B47="","",IF($F47=Settings!$B$6,MAX(2*Settings!$B$7,Settings!$B$4*$E47),IF($F47=Settings!$B$11,MAX(2*Settings!$B$12,Settings!$B$4*$E47),"")))</f>
        <v/>
      </c>
      <c r="H47" s="26" t="str">
        <f aca="false">IF($B47="","",IF(LEFT($F47,7)="NEITHER","Cannot be weighed — split it, premix it, or raise the batch size",IF($G47&gt;Settings!$B$4*$E47+0.0001,"Held to the scale's resolution, not "&amp;TEXT(Settings!$B$4,"0%"),"")))</f>
        <v/>
      </c>
    </row>
    <row r="49" customFormat="false" ht="15" hidden="false" customHeight="false" outlineLevel="0" collapsed="false">
      <c r="B49" s="27" t="s">
        <v>77</v>
      </c>
      <c r="C49" s="28" t="n">
        <f aca="false">SUM(C8:C47)</f>
        <v>7.5</v>
      </c>
      <c r="D49" s="29" t="n">
        <f aca="false">SUM(D8:D47)</f>
        <v>0.0075</v>
      </c>
      <c r="E49" s="28" t="n">
        <f aca="false">SUM(E8:E47)</f>
        <v>24</v>
      </c>
    </row>
    <row r="50" customFormat="false" ht="15" hidden="false" customHeight="false" outlineLevel="0" collapsed="false">
      <c r="B50" s="5" t="s">
        <v>78</v>
      </c>
      <c r="E50" s="30" t="n">
        <f aca="false">$C$4+E49</f>
        <v>3224</v>
      </c>
    </row>
    <row r="52" customFormat="false" ht="15" hidden="false" customHeight="false" outlineLevel="0" collapsed="false">
      <c r="B52" s="15" t="str">
        <f aca="false">IF(COUNTIF($F$8:$F$47,"NEITHER*")=0,"All ingredients can be weighed.","WARNING: "&amp;COUNTIF($F$8:$F$47,"NEITHER*")&amp;" ingredient(s) cannot be weighed on either scale — see the Note column.")</f>
        <v>All ingredients can be weighed.</v>
      </c>
      <c r="C52" s="15"/>
      <c r="D52" s="15"/>
      <c r="E52" s="15"/>
      <c r="F52" s="15"/>
      <c r="G52" s="15"/>
      <c r="H52" s="15"/>
    </row>
  </sheetData>
  <mergeCells count="11">
    <mergeCell ref="A1:H1"/>
    <mergeCell ref="A2:H2"/>
    <mergeCell ref="A4:B4"/>
    <mergeCell ref="D4:H4"/>
    <mergeCell ref="A5:B5"/>
    <mergeCell ref="D5:E5"/>
    <mergeCell ref="F5:H5"/>
    <mergeCell ref="A6:B6"/>
    <mergeCell ref="D6:E6"/>
    <mergeCell ref="F6:H6"/>
    <mergeCell ref="B52:H52"/>
  </mergeCells>
  <conditionalFormatting sqref="B52:H52">
    <cfRule type="expression" priority="2" aboveAverage="0" equalAverage="0" bottom="0" percent="0" rank="0" text="" dxfId="0">
      <formula>LEFT($B$52,5)="ERROR"</formula>
    </cfRule>
  </conditionalFormatting>
  <conditionalFormatting sqref="A8:H47">
    <cfRule type="expression" priority="3" aboveAverage="0" equalAverage="0" bottom="0" percent="0" rank="0" text="" dxfId="1">
      <formula>LEFT($F8,7)="NEITHER"</formula>
    </cfRule>
    <cfRule type="expression" priority="4" aboveAverage="0" equalAverage="0" bottom="0" percent="0" rank="0" text="" dxfId="2">
      <formula>AND($B8&lt;&gt;"",$H8&lt;&gt;"")</formula>
    </cfRule>
  </conditionalFormatting>
  <dataValidations count="1">
    <dataValidation allowBlank="true" errorStyle="stop" operator="between" showDropDown="false" showErrorMessage="false" showInputMessage="false" sqref="B8:B47" type="list">
      <formula1>IngredientList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6" t="s">
        <v>45</v>
      </c>
      <c r="B4" s="16"/>
      <c r="C4" s="17" t="n">
        <v>3200</v>
      </c>
      <c r="D4" s="2" t="s">
        <v>46</v>
      </c>
      <c r="E4" s="2"/>
      <c r="F4" s="2"/>
      <c r="G4" s="2"/>
      <c r="H4" s="2"/>
    </row>
    <row r="5" customFormat="false" ht="15" hidden="false" customHeight="false" outlineLevel="0" collapsed="false">
      <c r="A5" s="16" t="s">
        <v>47</v>
      </c>
      <c r="B5" s="16"/>
      <c r="C5" s="8" t="s">
        <v>93</v>
      </c>
      <c r="D5" s="16" t="s">
        <v>49</v>
      </c>
      <c r="E5" s="16"/>
      <c r="F5" s="18" t="s">
        <v>50</v>
      </c>
      <c r="G5" s="18"/>
      <c r="H5" s="18"/>
    </row>
    <row r="6" customFormat="false" ht="15" hidden="false" customHeight="false" outlineLevel="0" collapsed="false">
      <c r="A6" s="16" t="s">
        <v>51</v>
      </c>
      <c r="B6" s="16"/>
      <c r="C6" s="8" t="s">
        <v>81</v>
      </c>
      <c r="D6" s="16" t="s">
        <v>52</v>
      </c>
      <c r="E6" s="16"/>
      <c r="F6" s="18" t="s">
        <v>82</v>
      </c>
      <c r="G6" s="18"/>
      <c r="H6" s="18"/>
    </row>
    <row r="7" customFormat="false" ht="23.85" hidden="false" customHeight="false" outlineLevel="0" collapsed="false">
      <c r="A7" s="19" t="s">
        <v>53</v>
      </c>
      <c r="B7" s="19" t="s">
        <v>54</v>
      </c>
      <c r="C7" s="19" t="s">
        <v>55</v>
      </c>
      <c r="D7" s="19" t="s">
        <v>56</v>
      </c>
      <c r="E7" s="19" t="s">
        <v>57</v>
      </c>
      <c r="F7" s="19" t="s">
        <v>58</v>
      </c>
      <c r="G7" s="19" t="s">
        <v>59</v>
      </c>
      <c r="H7" s="19" t="s">
        <v>60</v>
      </c>
    </row>
    <row r="8" customFormat="false" ht="15" hidden="false" customHeight="false" outlineLevel="0" collapsed="false">
      <c r="A8" s="20" t="n">
        <f aca="false">IF($B8="","",1)</f>
        <v>1</v>
      </c>
      <c r="B8" s="31" t="s">
        <v>83</v>
      </c>
      <c r="C8" s="32" t="n">
        <v>7.5</v>
      </c>
      <c r="D8" s="23" t="n">
        <f aca="false">IF($B8="","",$C8/1000)</f>
        <v>0.0075</v>
      </c>
      <c r="E8" s="24" t="n">
        <f aca="false">IF($B8="","",$D8*$C$4)</f>
        <v>24</v>
      </c>
      <c r="F8" s="25" t="str">
        <f aca="false">IF($B8="","",IF($E8&lt;=0,"NEITHER — zero",IF($E8&gt;=Settings!$B$19,Settings!$B$6,IF($E8&gt;Settings!$B$14,"NEITHER — over bench capacity",IF($E8&gt;=2*Settings!$B$12,Settings!$B$11,"NEITHER — under bench resolution")))))</f>
        <v>Bench scale</v>
      </c>
      <c r="G8" s="24" t="n">
        <f aca="false">IF($B8="","",IF($F8=Settings!$B$6,MAX(2*Settings!$B$7,Settings!$B$4*$E8),IF($F8=Settings!$B$11,MAX(2*Settings!$B$12,Settings!$B$4*$E8),"")))</f>
        <v>0.48</v>
      </c>
      <c r="H8" s="33" t="str">
        <f aca="false">IF($B8="","",IF(LEFT($F8,7)="NEITHER","Cannot be weighed — split it, premix it, or raise the batch size",IF($G8&gt;Settings!$B$4*$E8+0.0001,"Held to the scale's resolution, not "&amp;TEXT(Settings!$B$4,"0%"),"")))</f>
        <v/>
      </c>
    </row>
    <row r="9" customFormat="false" ht="15" hidden="false" customHeight="false" outlineLevel="0" collapsed="false">
      <c r="A9" s="20" t="str">
        <f aca="false">IF($B9="","",2)</f>
        <v/>
      </c>
      <c r="B9" s="21"/>
      <c r="C9" s="22"/>
      <c r="D9" s="23" t="str">
        <f aca="false">IF($B9="","",$C9/1000)</f>
        <v/>
      </c>
      <c r="E9" s="24" t="str">
        <f aca="false">IF($B9="","",$D9*$C$4)</f>
        <v/>
      </c>
      <c r="F9" s="25" t="str">
        <f aca="false">IF($B9="","",IF($E9&lt;=0,"NEITHER — zero",IF($E9&gt;=Settings!$B$19,Settings!$B$6,IF($E9&gt;Settings!$B$14,"NEITHER — over bench capacity",IF($E9&gt;=2*Settings!$B$12,Settings!$B$11,"NEITHER — under bench resolution")))))</f>
        <v/>
      </c>
      <c r="G9" s="24" t="str">
        <f aca="false">IF($B9="","",IF($F9=Settings!$B$6,MAX(2*Settings!$B$7,Settings!$B$4*$E9),IF($F9=Settings!$B$11,MAX(2*Settings!$B$12,Settings!$B$4*$E9),"")))</f>
        <v/>
      </c>
      <c r="H9" s="26" t="str">
        <f aca="false">IF($B9="","",IF(LEFT($F9,7)="NEITHER","Cannot be weighed — split it, premix it, or raise the batch size",IF($G9&gt;Settings!$B$4*$E9+0.0001,"Held to the scale's resolution, not "&amp;TEXT(Settings!$B$4,"0%"),"")))</f>
        <v/>
      </c>
    </row>
    <row r="10" customFormat="false" ht="15" hidden="false" customHeight="false" outlineLevel="0" collapsed="false">
      <c r="A10" s="20" t="str">
        <f aca="false">IF($B10="","",3)</f>
        <v/>
      </c>
      <c r="B10" s="21"/>
      <c r="C10" s="22"/>
      <c r="D10" s="23" t="str">
        <f aca="false">IF($B10="","",$C10/1000)</f>
        <v/>
      </c>
      <c r="E10" s="24" t="str">
        <f aca="false">IF($B10="","",$D10*$C$4)</f>
        <v/>
      </c>
      <c r="F10" s="25" t="str">
        <f aca="false">IF($B10="","",IF($E10&lt;=0,"NEITHER — zero",IF($E10&gt;=Settings!$B$19,Settings!$B$6,IF($E10&gt;Settings!$B$14,"NEITHER — over bench capacity",IF($E10&gt;=2*Settings!$B$12,Settings!$B$11,"NEITHER — under bench resolution")))))</f>
        <v/>
      </c>
      <c r="G10" s="24" t="str">
        <f aca="false">IF($B10="","",IF($F10=Settings!$B$6,MAX(2*Settings!$B$7,Settings!$B$4*$E10),IF($F10=Settings!$B$11,MAX(2*Settings!$B$12,Settings!$B$4*$E10),"")))</f>
        <v/>
      </c>
      <c r="H10" s="26" t="str">
        <f aca="false">IF($B10="","",IF(LEFT($F10,7)="NEITHER","Cannot be weighed — split it, premix it, or raise the batch size",IF($G10&gt;Settings!$B$4*$E10+0.0001,"Held to the scale's resolution, not "&amp;TEXT(Settings!$B$4,"0%"),"")))</f>
        <v/>
      </c>
    </row>
    <row r="11" customFormat="false" ht="15" hidden="false" customHeight="false" outlineLevel="0" collapsed="false">
      <c r="A11" s="20" t="str">
        <f aca="false">IF($B11="","",4)</f>
        <v/>
      </c>
      <c r="B11" s="21"/>
      <c r="C11" s="22"/>
      <c r="D11" s="23" t="str">
        <f aca="false">IF($B11="","",$C11/1000)</f>
        <v/>
      </c>
      <c r="E11" s="24" t="str">
        <f aca="false">IF($B11="","",$D11*$C$4)</f>
        <v/>
      </c>
      <c r="F11" s="25" t="str">
        <f aca="false">IF($B11="","",IF($E11&lt;=0,"NEITHER — zero",IF($E11&gt;=Settings!$B$19,Settings!$B$6,IF($E11&gt;Settings!$B$14,"NEITHER — over bench capacity",IF($E11&gt;=2*Settings!$B$12,Settings!$B$11,"NEITHER — under bench resolution")))))</f>
        <v/>
      </c>
      <c r="G11" s="24" t="str">
        <f aca="false">IF($B11="","",IF($F11=Settings!$B$6,MAX(2*Settings!$B$7,Settings!$B$4*$E11),IF($F11=Settings!$B$11,MAX(2*Settings!$B$12,Settings!$B$4*$E11),"")))</f>
        <v/>
      </c>
      <c r="H11" s="26" t="str">
        <f aca="false">IF($B11="","",IF(LEFT($F11,7)="NEITHER","Cannot be weighed — split it, premix it, or raise the batch size",IF($G11&gt;Settings!$B$4*$E11+0.0001,"Held to the scale's resolution, not "&amp;TEXT(Settings!$B$4,"0%"),"")))</f>
        <v/>
      </c>
    </row>
    <row r="12" customFormat="false" ht="15" hidden="false" customHeight="false" outlineLevel="0" collapsed="false">
      <c r="A12" s="20" t="str">
        <f aca="false">IF($B12="","",5)</f>
        <v/>
      </c>
      <c r="B12" s="21"/>
      <c r="C12" s="22"/>
      <c r="D12" s="23" t="str">
        <f aca="false">IF($B12="","",$C12/1000)</f>
        <v/>
      </c>
      <c r="E12" s="24" t="str">
        <f aca="false">IF($B12="","",$D12*$C$4)</f>
        <v/>
      </c>
      <c r="F12" s="25" t="str">
        <f aca="false">IF($B12="","",IF($E12&lt;=0,"NEITHER — zero",IF($E12&gt;=Settings!$B$19,Settings!$B$6,IF($E12&gt;Settings!$B$14,"NEITHER — over bench capacity",IF($E12&gt;=2*Settings!$B$12,Settings!$B$11,"NEITHER — under bench resolution")))))</f>
        <v/>
      </c>
      <c r="G12" s="24" t="str">
        <f aca="false">IF($B12="","",IF($F12=Settings!$B$6,MAX(2*Settings!$B$7,Settings!$B$4*$E12),IF($F12=Settings!$B$11,MAX(2*Settings!$B$12,Settings!$B$4*$E12),"")))</f>
        <v/>
      </c>
      <c r="H12" s="26" t="str">
        <f aca="false">IF($B12="","",IF(LEFT($F12,7)="NEITHER","Cannot be weighed — split it, premix it, or raise the batch size",IF($G12&gt;Settings!$B$4*$E12+0.0001,"Held to the scale's resolution, not "&amp;TEXT(Settings!$B$4,"0%"),"")))</f>
        <v/>
      </c>
    </row>
    <row r="13" customFormat="false" ht="15" hidden="false" customHeight="false" outlineLevel="0" collapsed="false">
      <c r="A13" s="20" t="str">
        <f aca="false">IF($B13="","",6)</f>
        <v/>
      </c>
      <c r="B13" s="21"/>
      <c r="C13" s="22"/>
      <c r="D13" s="23" t="str">
        <f aca="false">IF($B13="","",$C13/1000)</f>
        <v/>
      </c>
      <c r="E13" s="24" t="str">
        <f aca="false">IF($B13="","",$D13*$C$4)</f>
        <v/>
      </c>
      <c r="F13" s="25" t="str">
        <f aca="false">IF($B13="","",IF($E13&lt;=0,"NEITHER — zero",IF($E13&gt;=Settings!$B$19,Settings!$B$6,IF($E13&gt;Settings!$B$14,"NEITHER — over bench capacity",IF($E13&gt;=2*Settings!$B$12,Settings!$B$11,"NEITHER — under bench resolution")))))</f>
        <v/>
      </c>
      <c r="G13" s="24" t="str">
        <f aca="false">IF($B13="","",IF($F13=Settings!$B$6,MAX(2*Settings!$B$7,Settings!$B$4*$E13),IF($F13=Settings!$B$11,MAX(2*Settings!$B$12,Settings!$B$4*$E13),"")))</f>
        <v/>
      </c>
      <c r="H13" s="26" t="str">
        <f aca="false">IF($B13="","",IF(LEFT($F13,7)="NEITHER","Cannot be weighed — split it, premix it, or raise the batch size",IF($G13&gt;Settings!$B$4*$E13+0.0001,"Held to the scale's resolution, not "&amp;TEXT(Settings!$B$4,"0%"),"")))</f>
        <v/>
      </c>
    </row>
    <row r="14" customFormat="false" ht="15" hidden="false" customHeight="false" outlineLevel="0" collapsed="false">
      <c r="A14" s="20" t="str">
        <f aca="false">IF($B14="","",7)</f>
        <v/>
      </c>
      <c r="B14" s="21"/>
      <c r="C14" s="22"/>
      <c r="D14" s="23" t="str">
        <f aca="false">IF($B14="","",$C14/1000)</f>
        <v/>
      </c>
      <c r="E14" s="24" t="str">
        <f aca="false">IF($B14="","",$D14*$C$4)</f>
        <v/>
      </c>
      <c r="F14" s="25" t="str">
        <f aca="false">IF($B14="","",IF($E14&lt;=0,"NEITHER — zero",IF($E14&gt;=Settings!$B$19,Settings!$B$6,IF($E14&gt;Settings!$B$14,"NEITHER — over bench capacity",IF($E14&gt;=2*Settings!$B$12,Settings!$B$11,"NEITHER — under bench resolution")))))</f>
        <v/>
      </c>
      <c r="G14" s="24" t="str">
        <f aca="false">IF($B14="","",IF($F14=Settings!$B$6,MAX(2*Settings!$B$7,Settings!$B$4*$E14),IF($F14=Settings!$B$11,MAX(2*Settings!$B$12,Settings!$B$4*$E14),"")))</f>
        <v/>
      </c>
      <c r="H14" s="26" t="str">
        <f aca="false">IF($B14="","",IF(LEFT($F14,7)="NEITHER","Cannot be weighed — split it, premix it, or raise the batch size",IF($G14&gt;Settings!$B$4*$E14+0.0001,"Held to the scale's resolution, not "&amp;TEXT(Settings!$B$4,"0%"),"")))</f>
        <v/>
      </c>
    </row>
    <row r="15" customFormat="false" ht="15" hidden="false" customHeight="false" outlineLevel="0" collapsed="false">
      <c r="A15" s="20" t="str">
        <f aca="false">IF($B15="","",8)</f>
        <v/>
      </c>
      <c r="B15" s="21"/>
      <c r="C15" s="22"/>
      <c r="D15" s="23" t="str">
        <f aca="false">IF($B15="","",$C15/1000)</f>
        <v/>
      </c>
      <c r="E15" s="24" t="str">
        <f aca="false">IF($B15="","",$D15*$C$4)</f>
        <v/>
      </c>
      <c r="F15" s="25" t="str">
        <f aca="false">IF($B15="","",IF($E15&lt;=0,"NEITHER — zero",IF($E15&gt;=Settings!$B$19,Settings!$B$6,IF($E15&gt;Settings!$B$14,"NEITHER — over bench capacity",IF($E15&gt;=2*Settings!$B$12,Settings!$B$11,"NEITHER — under bench resolution")))))</f>
        <v/>
      </c>
      <c r="G15" s="24" t="str">
        <f aca="false">IF($B15="","",IF($F15=Settings!$B$6,MAX(2*Settings!$B$7,Settings!$B$4*$E15),IF($F15=Settings!$B$11,MAX(2*Settings!$B$12,Settings!$B$4*$E15),"")))</f>
        <v/>
      </c>
      <c r="H15" s="26" t="str">
        <f aca="false">IF($B15="","",IF(LEFT($F15,7)="NEITHER","Cannot be weighed — split it, premix it, or raise the batch size",IF($G15&gt;Settings!$B$4*$E15+0.0001,"Held to the scale's resolution, not "&amp;TEXT(Settings!$B$4,"0%"),"")))</f>
        <v/>
      </c>
    </row>
    <row r="16" customFormat="false" ht="15" hidden="false" customHeight="false" outlineLevel="0" collapsed="false">
      <c r="A16" s="20" t="str">
        <f aca="false">IF($B16="","",9)</f>
        <v/>
      </c>
      <c r="B16" s="21"/>
      <c r="C16" s="22"/>
      <c r="D16" s="23" t="str">
        <f aca="false">IF($B16="","",$C16/1000)</f>
        <v/>
      </c>
      <c r="E16" s="24" t="str">
        <f aca="false">IF($B16="","",$D16*$C$4)</f>
        <v/>
      </c>
      <c r="F16" s="25" t="str">
        <f aca="false">IF($B16="","",IF($E16&lt;=0,"NEITHER — zero",IF($E16&gt;=Settings!$B$19,Settings!$B$6,IF($E16&gt;Settings!$B$14,"NEITHER — over bench capacity",IF($E16&gt;=2*Settings!$B$12,Settings!$B$11,"NEITHER — under bench resolution")))))</f>
        <v/>
      </c>
      <c r="G16" s="24" t="str">
        <f aca="false">IF($B16="","",IF($F16=Settings!$B$6,MAX(2*Settings!$B$7,Settings!$B$4*$E16),IF($F16=Settings!$B$11,MAX(2*Settings!$B$12,Settings!$B$4*$E16),"")))</f>
        <v/>
      </c>
      <c r="H16" s="26" t="str">
        <f aca="false">IF($B16="","",IF(LEFT($F16,7)="NEITHER","Cannot be weighed — split it, premix it, or raise the batch size",IF($G16&gt;Settings!$B$4*$E16+0.0001,"Held to the scale's resolution, not "&amp;TEXT(Settings!$B$4,"0%"),"")))</f>
        <v/>
      </c>
    </row>
    <row r="17" customFormat="false" ht="15" hidden="false" customHeight="false" outlineLevel="0" collapsed="false">
      <c r="A17" s="20" t="str">
        <f aca="false">IF($B17="","",10)</f>
        <v/>
      </c>
      <c r="B17" s="21"/>
      <c r="C17" s="22"/>
      <c r="D17" s="23" t="str">
        <f aca="false">IF($B17="","",$C17/1000)</f>
        <v/>
      </c>
      <c r="E17" s="24" t="str">
        <f aca="false">IF($B17="","",$D17*$C$4)</f>
        <v/>
      </c>
      <c r="F17" s="25" t="str">
        <f aca="false">IF($B17="","",IF($E17&lt;=0,"NEITHER — zero",IF($E17&gt;=Settings!$B$19,Settings!$B$6,IF($E17&gt;Settings!$B$14,"NEITHER — over bench capacity",IF($E17&gt;=2*Settings!$B$12,Settings!$B$11,"NEITHER — under bench resolution")))))</f>
        <v/>
      </c>
      <c r="G17" s="24" t="str">
        <f aca="false">IF($B17="","",IF($F17=Settings!$B$6,MAX(2*Settings!$B$7,Settings!$B$4*$E17),IF($F17=Settings!$B$11,MAX(2*Settings!$B$12,Settings!$B$4*$E17),"")))</f>
        <v/>
      </c>
      <c r="H17" s="26" t="str">
        <f aca="false">IF($B17="","",IF(LEFT($F17,7)="NEITHER","Cannot be weighed — split it, premix it, or raise the batch size",IF($G17&gt;Settings!$B$4*$E17+0.0001,"Held to the scale's resolution, not "&amp;TEXT(Settings!$B$4,"0%"),"")))</f>
        <v/>
      </c>
    </row>
    <row r="18" customFormat="false" ht="15" hidden="false" customHeight="false" outlineLevel="0" collapsed="false">
      <c r="A18" s="20" t="str">
        <f aca="false">IF($B18="","",11)</f>
        <v/>
      </c>
      <c r="B18" s="21"/>
      <c r="C18" s="22"/>
      <c r="D18" s="23" t="str">
        <f aca="false">IF($B18="","",$C18/1000)</f>
        <v/>
      </c>
      <c r="E18" s="24" t="str">
        <f aca="false">IF($B18="","",$D18*$C$4)</f>
        <v/>
      </c>
      <c r="F18" s="25" t="str">
        <f aca="false">IF($B18="","",IF($E18&lt;=0,"NEITHER — zero",IF($E18&gt;=Settings!$B$19,Settings!$B$6,IF($E18&gt;Settings!$B$14,"NEITHER — over bench capacity",IF($E18&gt;=2*Settings!$B$12,Settings!$B$11,"NEITHER — under bench resolution")))))</f>
        <v/>
      </c>
      <c r="G18" s="24" t="str">
        <f aca="false">IF($B18="","",IF($F18=Settings!$B$6,MAX(2*Settings!$B$7,Settings!$B$4*$E18),IF($F18=Settings!$B$11,MAX(2*Settings!$B$12,Settings!$B$4*$E18),"")))</f>
        <v/>
      </c>
      <c r="H18" s="26" t="str">
        <f aca="false">IF($B18="","",IF(LEFT($F18,7)="NEITHER","Cannot be weighed — split it, premix it, or raise the batch size",IF($G18&gt;Settings!$B$4*$E18+0.0001,"Held to the scale's resolution, not "&amp;TEXT(Settings!$B$4,"0%"),"")))</f>
        <v/>
      </c>
    </row>
    <row r="19" customFormat="false" ht="15" hidden="false" customHeight="false" outlineLevel="0" collapsed="false">
      <c r="A19" s="20" t="str">
        <f aca="false">IF($B19="","",12)</f>
        <v/>
      </c>
      <c r="B19" s="21"/>
      <c r="C19" s="22"/>
      <c r="D19" s="23" t="str">
        <f aca="false">IF($B19="","",$C19/1000)</f>
        <v/>
      </c>
      <c r="E19" s="24" t="str">
        <f aca="false">IF($B19="","",$D19*$C$4)</f>
        <v/>
      </c>
      <c r="F19" s="25" t="str">
        <f aca="false">IF($B19="","",IF($E19&lt;=0,"NEITHER — zero",IF($E19&gt;=Settings!$B$19,Settings!$B$6,IF($E19&gt;Settings!$B$14,"NEITHER — over bench capacity",IF($E19&gt;=2*Settings!$B$12,Settings!$B$11,"NEITHER — under bench resolution")))))</f>
        <v/>
      </c>
      <c r="G19" s="24" t="str">
        <f aca="false">IF($B19="","",IF($F19=Settings!$B$6,MAX(2*Settings!$B$7,Settings!$B$4*$E19),IF($F19=Settings!$B$11,MAX(2*Settings!$B$12,Settings!$B$4*$E19),"")))</f>
        <v/>
      </c>
      <c r="H19" s="26" t="str">
        <f aca="false">IF($B19="","",IF(LEFT($F19,7)="NEITHER","Cannot be weighed — split it, premix it, or raise the batch size",IF($G19&gt;Settings!$B$4*$E19+0.0001,"Held to the scale's resolution, not "&amp;TEXT(Settings!$B$4,"0%"),"")))</f>
        <v/>
      </c>
    </row>
    <row r="20" customFormat="false" ht="15" hidden="false" customHeight="false" outlineLevel="0" collapsed="false">
      <c r="A20" s="20" t="str">
        <f aca="false">IF($B20="","",13)</f>
        <v/>
      </c>
      <c r="B20" s="21"/>
      <c r="C20" s="22"/>
      <c r="D20" s="23" t="str">
        <f aca="false">IF($B20="","",$C20/1000)</f>
        <v/>
      </c>
      <c r="E20" s="24" t="str">
        <f aca="false">IF($B20="","",$D20*$C$4)</f>
        <v/>
      </c>
      <c r="F20" s="25" t="str">
        <f aca="false">IF($B20="","",IF($E20&lt;=0,"NEITHER — zero",IF($E20&gt;=Settings!$B$19,Settings!$B$6,IF($E20&gt;Settings!$B$14,"NEITHER — over bench capacity",IF($E20&gt;=2*Settings!$B$12,Settings!$B$11,"NEITHER — under bench resolution")))))</f>
        <v/>
      </c>
      <c r="G20" s="24" t="str">
        <f aca="false">IF($B20="","",IF($F20=Settings!$B$6,MAX(2*Settings!$B$7,Settings!$B$4*$E20),IF($F20=Settings!$B$11,MAX(2*Settings!$B$12,Settings!$B$4*$E20),"")))</f>
        <v/>
      </c>
      <c r="H20" s="26" t="str">
        <f aca="false">IF($B20="","",IF(LEFT($F20,7)="NEITHER","Cannot be weighed — split it, premix it, or raise the batch size",IF($G20&gt;Settings!$B$4*$E20+0.0001,"Held to the scale's resolution, not "&amp;TEXT(Settings!$B$4,"0%"),"")))</f>
        <v/>
      </c>
    </row>
    <row r="21" customFormat="false" ht="15" hidden="false" customHeight="false" outlineLevel="0" collapsed="false">
      <c r="A21" s="20" t="str">
        <f aca="false">IF($B21="","",14)</f>
        <v/>
      </c>
      <c r="B21" s="21"/>
      <c r="C21" s="22"/>
      <c r="D21" s="23" t="str">
        <f aca="false">IF($B21="","",$C21/1000)</f>
        <v/>
      </c>
      <c r="E21" s="24" t="str">
        <f aca="false">IF($B21="","",$D21*$C$4)</f>
        <v/>
      </c>
      <c r="F21" s="25" t="str">
        <f aca="false">IF($B21="","",IF($E21&lt;=0,"NEITHER — zero",IF($E21&gt;=Settings!$B$19,Settings!$B$6,IF($E21&gt;Settings!$B$14,"NEITHER — over bench capacity",IF($E21&gt;=2*Settings!$B$12,Settings!$B$11,"NEITHER — under bench resolution")))))</f>
        <v/>
      </c>
      <c r="G21" s="24" t="str">
        <f aca="false">IF($B21="","",IF($F21=Settings!$B$6,MAX(2*Settings!$B$7,Settings!$B$4*$E21),IF($F21=Settings!$B$11,MAX(2*Settings!$B$12,Settings!$B$4*$E21),"")))</f>
        <v/>
      </c>
      <c r="H21" s="26" t="str">
        <f aca="false">IF($B21="","",IF(LEFT($F21,7)="NEITHER","Cannot be weighed — split it, premix it, or raise the batch size",IF($G21&gt;Settings!$B$4*$E21+0.0001,"Held to the scale's resolution, not "&amp;TEXT(Settings!$B$4,"0%"),"")))</f>
        <v/>
      </c>
    </row>
    <row r="22" customFormat="false" ht="15" hidden="false" customHeight="false" outlineLevel="0" collapsed="false">
      <c r="A22" s="20" t="str">
        <f aca="false">IF($B22="","",15)</f>
        <v/>
      </c>
      <c r="B22" s="21"/>
      <c r="C22" s="22"/>
      <c r="D22" s="23" t="str">
        <f aca="false">IF($B22="","",$C22/1000)</f>
        <v/>
      </c>
      <c r="E22" s="24" t="str">
        <f aca="false">IF($B22="","",$D22*$C$4)</f>
        <v/>
      </c>
      <c r="F22" s="25" t="str">
        <f aca="false">IF($B22="","",IF($E22&lt;=0,"NEITHER — zero",IF($E22&gt;=Settings!$B$19,Settings!$B$6,IF($E22&gt;Settings!$B$14,"NEITHER — over bench capacity",IF($E22&gt;=2*Settings!$B$12,Settings!$B$11,"NEITHER — under bench resolution")))))</f>
        <v/>
      </c>
      <c r="G22" s="24" t="str">
        <f aca="false">IF($B22="","",IF($F22=Settings!$B$6,MAX(2*Settings!$B$7,Settings!$B$4*$E22),IF($F22=Settings!$B$11,MAX(2*Settings!$B$12,Settings!$B$4*$E22),"")))</f>
        <v/>
      </c>
      <c r="H22" s="26" t="str">
        <f aca="false">IF($B22="","",IF(LEFT($F22,7)="NEITHER","Cannot be weighed — split it, premix it, or raise the batch size",IF($G22&gt;Settings!$B$4*$E22+0.0001,"Held to the scale's resolution, not "&amp;TEXT(Settings!$B$4,"0%"),"")))</f>
        <v/>
      </c>
    </row>
    <row r="23" customFormat="false" ht="15" hidden="false" customHeight="false" outlineLevel="0" collapsed="false">
      <c r="A23" s="20" t="str">
        <f aca="false">IF($B23="","",16)</f>
        <v/>
      </c>
      <c r="B23" s="21"/>
      <c r="C23" s="22"/>
      <c r="D23" s="23" t="str">
        <f aca="false">IF($B23="","",$C23/1000)</f>
        <v/>
      </c>
      <c r="E23" s="24" t="str">
        <f aca="false">IF($B23="","",$D23*$C$4)</f>
        <v/>
      </c>
      <c r="F23" s="25" t="str">
        <f aca="false">IF($B23="","",IF($E23&lt;=0,"NEITHER — zero",IF($E23&gt;=Settings!$B$19,Settings!$B$6,IF($E23&gt;Settings!$B$14,"NEITHER — over bench capacity",IF($E23&gt;=2*Settings!$B$12,Settings!$B$11,"NEITHER — under bench resolution")))))</f>
        <v/>
      </c>
      <c r="G23" s="24" t="str">
        <f aca="false">IF($B23="","",IF($F23=Settings!$B$6,MAX(2*Settings!$B$7,Settings!$B$4*$E23),IF($F23=Settings!$B$11,MAX(2*Settings!$B$12,Settings!$B$4*$E23),"")))</f>
        <v/>
      </c>
      <c r="H23" s="26" t="str">
        <f aca="false">IF($B23="","",IF(LEFT($F23,7)="NEITHER","Cannot be weighed — split it, premix it, or raise the batch size",IF($G23&gt;Settings!$B$4*$E23+0.0001,"Held to the scale's resolution, not "&amp;TEXT(Settings!$B$4,"0%"),"")))</f>
        <v/>
      </c>
    </row>
    <row r="24" customFormat="false" ht="15" hidden="false" customHeight="false" outlineLevel="0" collapsed="false">
      <c r="A24" s="20" t="str">
        <f aca="false">IF($B24="","",17)</f>
        <v/>
      </c>
      <c r="B24" s="21"/>
      <c r="C24" s="22"/>
      <c r="D24" s="23" t="str">
        <f aca="false">IF($B24="","",$C24/1000)</f>
        <v/>
      </c>
      <c r="E24" s="24" t="str">
        <f aca="false">IF($B24="","",$D24*$C$4)</f>
        <v/>
      </c>
      <c r="F24" s="25" t="str">
        <f aca="false">IF($B24="","",IF($E24&lt;=0,"NEITHER — zero",IF($E24&gt;=Settings!$B$19,Settings!$B$6,IF($E24&gt;Settings!$B$14,"NEITHER — over bench capacity",IF($E24&gt;=2*Settings!$B$12,Settings!$B$11,"NEITHER — under bench resolution")))))</f>
        <v/>
      </c>
      <c r="G24" s="24" t="str">
        <f aca="false">IF($B24="","",IF($F24=Settings!$B$6,MAX(2*Settings!$B$7,Settings!$B$4*$E24),IF($F24=Settings!$B$11,MAX(2*Settings!$B$12,Settings!$B$4*$E24),"")))</f>
        <v/>
      </c>
      <c r="H24" s="26" t="str">
        <f aca="false">IF($B24="","",IF(LEFT($F24,7)="NEITHER","Cannot be weighed — split it, premix it, or raise the batch size",IF($G24&gt;Settings!$B$4*$E24+0.0001,"Held to the scale's resolution, not "&amp;TEXT(Settings!$B$4,"0%"),"")))</f>
        <v/>
      </c>
    </row>
    <row r="25" customFormat="false" ht="15" hidden="false" customHeight="false" outlineLevel="0" collapsed="false">
      <c r="A25" s="20" t="str">
        <f aca="false">IF($B25="","",18)</f>
        <v/>
      </c>
      <c r="B25" s="21"/>
      <c r="C25" s="22"/>
      <c r="D25" s="23" t="str">
        <f aca="false">IF($B25="","",$C25/1000)</f>
        <v/>
      </c>
      <c r="E25" s="24" t="str">
        <f aca="false">IF($B25="","",$D25*$C$4)</f>
        <v/>
      </c>
      <c r="F25" s="25" t="str">
        <f aca="false">IF($B25="","",IF($E25&lt;=0,"NEITHER — zero",IF($E25&gt;=Settings!$B$19,Settings!$B$6,IF($E25&gt;Settings!$B$14,"NEITHER — over bench capacity",IF($E25&gt;=2*Settings!$B$12,Settings!$B$11,"NEITHER — under bench resolution")))))</f>
        <v/>
      </c>
      <c r="G25" s="24" t="str">
        <f aca="false">IF($B25="","",IF($F25=Settings!$B$6,MAX(2*Settings!$B$7,Settings!$B$4*$E25),IF($F25=Settings!$B$11,MAX(2*Settings!$B$12,Settings!$B$4*$E25),"")))</f>
        <v/>
      </c>
      <c r="H25" s="26" t="str">
        <f aca="false">IF($B25="","",IF(LEFT($F25,7)="NEITHER","Cannot be weighed — split it, premix it, or raise the batch size",IF($G25&gt;Settings!$B$4*$E25+0.0001,"Held to the scale's resolution, not "&amp;TEXT(Settings!$B$4,"0%"),"")))</f>
        <v/>
      </c>
    </row>
    <row r="26" customFormat="false" ht="15" hidden="false" customHeight="false" outlineLevel="0" collapsed="false">
      <c r="A26" s="20" t="str">
        <f aca="false">IF($B26="","",19)</f>
        <v/>
      </c>
      <c r="B26" s="21"/>
      <c r="C26" s="22"/>
      <c r="D26" s="23" t="str">
        <f aca="false">IF($B26="","",$C26/1000)</f>
        <v/>
      </c>
      <c r="E26" s="24" t="str">
        <f aca="false">IF($B26="","",$D26*$C$4)</f>
        <v/>
      </c>
      <c r="F26" s="25" t="str">
        <f aca="false">IF($B26="","",IF($E26&lt;=0,"NEITHER — zero",IF($E26&gt;=Settings!$B$19,Settings!$B$6,IF($E26&gt;Settings!$B$14,"NEITHER — over bench capacity",IF($E26&gt;=2*Settings!$B$12,Settings!$B$11,"NEITHER — under bench resolution")))))</f>
        <v/>
      </c>
      <c r="G26" s="24" t="str">
        <f aca="false">IF($B26="","",IF($F26=Settings!$B$6,MAX(2*Settings!$B$7,Settings!$B$4*$E26),IF($F26=Settings!$B$11,MAX(2*Settings!$B$12,Settings!$B$4*$E26),"")))</f>
        <v/>
      </c>
      <c r="H26" s="26" t="str">
        <f aca="false">IF($B26="","",IF(LEFT($F26,7)="NEITHER","Cannot be weighed — split it, premix it, or raise the batch size",IF($G26&gt;Settings!$B$4*$E26+0.0001,"Held to the scale's resolution, not "&amp;TEXT(Settings!$B$4,"0%"),"")))</f>
        <v/>
      </c>
    </row>
    <row r="27" customFormat="false" ht="15" hidden="false" customHeight="false" outlineLevel="0" collapsed="false">
      <c r="A27" s="20" t="str">
        <f aca="false">IF($B27="","",20)</f>
        <v/>
      </c>
      <c r="B27" s="21"/>
      <c r="C27" s="22"/>
      <c r="D27" s="23" t="str">
        <f aca="false">IF($B27="","",$C27/1000)</f>
        <v/>
      </c>
      <c r="E27" s="24" t="str">
        <f aca="false">IF($B27="","",$D27*$C$4)</f>
        <v/>
      </c>
      <c r="F27" s="25" t="str">
        <f aca="false">IF($B27="","",IF($E27&lt;=0,"NEITHER — zero",IF($E27&gt;=Settings!$B$19,Settings!$B$6,IF($E27&gt;Settings!$B$14,"NEITHER — over bench capacity",IF($E27&gt;=2*Settings!$B$12,Settings!$B$11,"NEITHER — under bench resolution")))))</f>
        <v/>
      </c>
      <c r="G27" s="24" t="str">
        <f aca="false">IF($B27="","",IF($F27=Settings!$B$6,MAX(2*Settings!$B$7,Settings!$B$4*$E27),IF($F27=Settings!$B$11,MAX(2*Settings!$B$12,Settings!$B$4*$E27),"")))</f>
        <v/>
      </c>
      <c r="H27" s="26" t="str">
        <f aca="false">IF($B27="","",IF(LEFT($F27,7)="NEITHER","Cannot be weighed — split it, premix it, or raise the batch size",IF($G27&gt;Settings!$B$4*$E27+0.0001,"Held to the scale's resolution, not "&amp;TEXT(Settings!$B$4,"0%"),"")))</f>
        <v/>
      </c>
    </row>
    <row r="28" customFormat="false" ht="15" hidden="false" customHeight="false" outlineLevel="0" collapsed="false">
      <c r="A28" s="20" t="str">
        <f aca="false">IF($B28="","",21)</f>
        <v/>
      </c>
      <c r="B28" s="21"/>
      <c r="C28" s="22"/>
      <c r="D28" s="23" t="str">
        <f aca="false">IF($B28="","",$C28/1000)</f>
        <v/>
      </c>
      <c r="E28" s="24" t="str">
        <f aca="false">IF($B28="","",$D28*$C$4)</f>
        <v/>
      </c>
      <c r="F28" s="25" t="str">
        <f aca="false">IF($B28="","",IF($E28&lt;=0,"NEITHER — zero",IF($E28&gt;=Settings!$B$19,Settings!$B$6,IF($E28&gt;Settings!$B$14,"NEITHER — over bench capacity",IF($E28&gt;=2*Settings!$B$12,Settings!$B$11,"NEITHER — under bench resolution")))))</f>
        <v/>
      </c>
      <c r="G28" s="24" t="str">
        <f aca="false">IF($B28="","",IF($F28=Settings!$B$6,MAX(2*Settings!$B$7,Settings!$B$4*$E28),IF($F28=Settings!$B$11,MAX(2*Settings!$B$12,Settings!$B$4*$E28),"")))</f>
        <v/>
      </c>
      <c r="H28" s="26" t="str">
        <f aca="false">IF($B28="","",IF(LEFT($F28,7)="NEITHER","Cannot be weighed — split it, premix it, or raise the batch size",IF($G28&gt;Settings!$B$4*$E28+0.0001,"Held to the scale's resolution, not "&amp;TEXT(Settings!$B$4,"0%"),"")))</f>
        <v/>
      </c>
    </row>
    <row r="29" customFormat="false" ht="15" hidden="false" customHeight="false" outlineLevel="0" collapsed="false">
      <c r="A29" s="20" t="str">
        <f aca="false">IF($B29="","",22)</f>
        <v/>
      </c>
      <c r="B29" s="21"/>
      <c r="C29" s="22"/>
      <c r="D29" s="23" t="str">
        <f aca="false">IF($B29="","",$C29/1000)</f>
        <v/>
      </c>
      <c r="E29" s="24" t="str">
        <f aca="false">IF($B29="","",$D29*$C$4)</f>
        <v/>
      </c>
      <c r="F29" s="25" t="str">
        <f aca="false">IF($B29="","",IF($E29&lt;=0,"NEITHER — zero",IF($E29&gt;=Settings!$B$19,Settings!$B$6,IF($E29&gt;Settings!$B$14,"NEITHER — over bench capacity",IF($E29&gt;=2*Settings!$B$12,Settings!$B$11,"NEITHER — under bench resolution")))))</f>
        <v/>
      </c>
      <c r="G29" s="24" t="str">
        <f aca="false">IF($B29="","",IF($F29=Settings!$B$6,MAX(2*Settings!$B$7,Settings!$B$4*$E29),IF($F29=Settings!$B$11,MAX(2*Settings!$B$12,Settings!$B$4*$E29),"")))</f>
        <v/>
      </c>
      <c r="H29" s="26" t="str">
        <f aca="false">IF($B29="","",IF(LEFT($F29,7)="NEITHER","Cannot be weighed — split it, premix it, or raise the batch size",IF($G29&gt;Settings!$B$4*$E29+0.0001,"Held to the scale's resolution, not "&amp;TEXT(Settings!$B$4,"0%"),"")))</f>
        <v/>
      </c>
    </row>
    <row r="30" customFormat="false" ht="15" hidden="false" customHeight="false" outlineLevel="0" collapsed="false">
      <c r="A30" s="20" t="str">
        <f aca="false">IF($B30="","",23)</f>
        <v/>
      </c>
      <c r="B30" s="21"/>
      <c r="C30" s="22"/>
      <c r="D30" s="23" t="str">
        <f aca="false">IF($B30="","",$C30/1000)</f>
        <v/>
      </c>
      <c r="E30" s="24" t="str">
        <f aca="false">IF($B30="","",$D30*$C$4)</f>
        <v/>
      </c>
      <c r="F30" s="25" t="str">
        <f aca="false">IF($B30="","",IF($E30&lt;=0,"NEITHER — zero",IF($E30&gt;=Settings!$B$19,Settings!$B$6,IF($E30&gt;Settings!$B$14,"NEITHER — over bench capacity",IF($E30&gt;=2*Settings!$B$12,Settings!$B$11,"NEITHER — under bench resolution")))))</f>
        <v/>
      </c>
      <c r="G30" s="24" t="str">
        <f aca="false">IF($B30="","",IF($F30=Settings!$B$6,MAX(2*Settings!$B$7,Settings!$B$4*$E30),IF($F30=Settings!$B$11,MAX(2*Settings!$B$12,Settings!$B$4*$E30),"")))</f>
        <v/>
      </c>
      <c r="H30" s="26" t="str">
        <f aca="false">IF($B30="","",IF(LEFT($F30,7)="NEITHER","Cannot be weighed — split it, premix it, or raise the batch size",IF($G30&gt;Settings!$B$4*$E30+0.0001,"Held to the scale's resolution, not "&amp;TEXT(Settings!$B$4,"0%"),"")))</f>
        <v/>
      </c>
    </row>
    <row r="31" customFormat="false" ht="15" hidden="false" customHeight="false" outlineLevel="0" collapsed="false">
      <c r="A31" s="20" t="str">
        <f aca="false">IF($B31="","",24)</f>
        <v/>
      </c>
      <c r="B31" s="21"/>
      <c r="C31" s="22"/>
      <c r="D31" s="23" t="str">
        <f aca="false">IF($B31="","",$C31/1000)</f>
        <v/>
      </c>
      <c r="E31" s="24" t="str">
        <f aca="false">IF($B31="","",$D31*$C$4)</f>
        <v/>
      </c>
      <c r="F31" s="25" t="str">
        <f aca="false">IF($B31="","",IF($E31&lt;=0,"NEITHER — zero",IF($E31&gt;=Settings!$B$19,Settings!$B$6,IF($E31&gt;Settings!$B$14,"NEITHER — over bench capacity",IF($E31&gt;=2*Settings!$B$12,Settings!$B$11,"NEITHER — under bench resolution")))))</f>
        <v/>
      </c>
      <c r="G31" s="24" t="str">
        <f aca="false">IF($B31="","",IF($F31=Settings!$B$6,MAX(2*Settings!$B$7,Settings!$B$4*$E31),IF($F31=Settings!$B$11,MAX(2*Settings!$B$12,Settings!$B$4*$E31),"")))</f>
        <v/>
      </c>
      <c r="H31" s="26" t="str">
        <f aca="false">IF($B31="","",IF(LEFT($F31,7)="NEITHER","Cannot be weighed — split it, premix it, or raise the batch size",IF($G31&gt;Settings!$B$4*$E31+0.0001,"Held to the scale's resolution, not "&amp;TEXT(Settings!$B$4,"0%"),"")))</f>
        <v/>
      </c>
    </row>
    <row r="32" customFormat="false" ht="15" hidden="false" customHeight="false" outlineLevel="0" collapsed="false">
      <c r="A32" s="20" t="str">
        <f aca="false">IF($B32="","",25)</f>
        <v/>
      </c>
      <c r="B32" s="21"/>
      <c r="C32" s="22"/>
      <c r="D32" s="23" t="str">
        <f aca="false">IF($B32="","",$C32/1000)</f>
        <v/>
      </c>
      <c r="E32" s="24" t="str">
        <f aca="false">IF($B32="","",$D32*$C$4)</f>
        <v/>
      </c>
      <c r="F32" s="25" t="str">
        <f aca="false">IF($B32="","",IF($E32&lt;=0,"NEITHER — zero",IF($E32&gt;=Settings!$B$19,Settings!$B$6,IF($E32&gt;Settings!$B$14,"NEITHER — over bench capacity",IF($E32&gt;=2*Settings!$B$12,Settings!$B$11,"NEITHER — under bench resolution")))))</f>
        <v/>
      </c>
      <c r="G32" s="24" t="str">
        <f aca="false">IF($B32="","",IF($F32=Settings!$B$6,MAX(2*Settings!$B$7,Settings!$B$4*$E32),IF($F32=Settings!$B$11,MAX(2*Settings!$B$12,Settings!$B$4*$E32),"")))</f>
        <v/>
      </c>
      <c r="H32" s="26" t="str">
        <f aca="false">IF($B32="","",IF(LEFT($F32,7)="NEITHER","Cannot be weighed — split it, premix it, or raise the batch size",IF($G32&gt;Settings!$B$4*$E32+0.0001,"Held to the scale's resolution, not "&amp;TEXT(Settings!$B$4,"0%"),"")))</f>
        <v/>
      </c>
    </row>
    <row r="33" customFormat="false" ht="15" hidden="false" customHeight="false" outlineLevel="0" collapsed="false">
      <c r="A33" s="20" t="str">
        <f aca="false">IF($B33="","",26)</f>
        <v/>
      </c>
      <c r="B33" s="21"/>
      <c r="C33" s="22"/>
      <c r="D33" s="23" t="str">
        <f aca="false">IF($B33="","",$C33/1000)</f>
        <v/>
      </c>
      <c r="E33" s="24" t="str">
        <f aca="false">IF($B33="","",$D33*$C$4)</f>
        <v/>
      </c>
      <c r="F33" s="25" t="str">
        <f aca="false">IF($B33="","",IF($E33&lt;=0,"NEITHER — zero",IF($E33&gt;=Settings!$B$19,Settings!$B$6,IF($E33&gt;Settings!$B$14,"NEITHER — over bench capacity",IF($E33&gt;=2*Settings!$B$12,Settings!$B$11,"NEITHER — under bench resolution")))))</f>
        <v/>
      </c>
      <c r="G33" s="24" t="str">
        <f aca="false">IF($B33="","",IF($F33=Settings!$B$6,MAX(2*Settings!$B$7,Settings!$B$4*$E33),IF($F33=Settings!$B$11,MAX(2*Settings!$B$12,Settings!$B$4*$E33),"")))</f>
        <v/>
      </c>
      <c r="H33" s="26" t="str">
        <f aca="false">IF($B33="","",IF(LEFT($F33,7)="NEITHER","Cannot be weighed — split it, premix it, or raise the batch size",IF($G33&gt;Settings!$B$4*$E33+0.0001,"Held to the scale's resolution, not "&amp;TEXT(Settings!$B$4,"0%"),"")))</f>
        <v/>
      </c>
    </row>
    <row r="34" customFormat="false" ht="15" hidden="false" customHeight="false" outlineLevel="0" collapsed="false">
      <c r="A34" s="20" t="str">
        <f aca="false">IF($B34="","",27)</f>
        <v/>
      </c>
      <c r="B34" s="21"/>
      <c r="C34" s="22"/>
      <c r="D34" s="23" t="str">
        <f aca="false">IF($B34="","",$C34/1000)</f>
        <v/>
      </c>
      <c r="E34" s="24" t="str">
        <f aca="false">IF($B34="","",$D34*$C$4)</f>
        <v/>
      </c>
      <c r="F34" s="25" t="str">
        <f aca="false">IF($B34="","",IF($E34&lt;=0,"NEITHER — zero",IF($E34&gt;=Settings!$B$19,Settings!$B$6,IF($E34&gt;Settings!$B$14,"NEITHER — over bench capacity",IF($E34&gt;=2*Settings!$B$12,Settings!$B$11,"NEITHER — under bench resolution")))))</f>
        <v/>
      </c>
      <c r="G34" s="24" t="str">
        <f aca="false">IF($B34="","",IF($F34=Settings!$B$6,MAX(2*Settings!$B$7,Settings!$B$4*$E34),IF($F34=Settings!$B$11,MAX(2*Settings!$B$12,Settings!$B$4*$E34),"")))</f>
        <v/>
      </c>
      <c r="H34" s="26" t="str">
        <f aca="false">IF($B34="","",IF(LEFT($F34,7)="NEITHER","Cannot be weighed — split it, premix it, or raise the batch size",IF($G34&gt;Settings!$B$4*$E34+0.0001,"Held to the scale's resolution, not "&amp;TEXT(Settings!$B$4,"0%"),"")))</f>
        <v/>
      </c>
    </row>
    <row r="35" customFormat="false" ht="15" hidden="false" customHeight="false" outlineLevel="0" collapsed="false">
      <c r="A35" s="20" t="str">
        <f aca="false">IF($B35="","",28)</f>
        <v/>
      </c>
      <c r="B35" s="21"/>
      <c r="C35" s="22"/>
      <c r="D35" s="23" t="str">
        <f aca="false">IF($B35="","",$C35/1000)</f>
        <v/>
      </c>
      <c r="E35" s="24" t="str">
        <f aca="false">IF($B35="","",$D35*$C$4)</f>
        <v/>
      </c>
      <c r="F35" s="25" t="str">
        <f aca="false">IF($B35="","",IF($E35&lt;=0,"NEITHER — zero",IF($E35&gt;=Settings!$B$19,Settings!$B$6,IF($E35&gt;Settings!$B$14,"NEITHER — over bench capacity",IF($E35&gt;=2*Settings!$B$12,Settings!$B$11,"NEITHER — under bench resolution")))))</f>
        <v/>
      </c>
      <c r="G35" s="24" t="str">
        <f aca="false">IF($B35="","",IF($F35=Settings!$B$6,MAX(2*Settings!$B$7,Settings!$B$4*$E35),IF($F35=Settings!$B$11,MAX(2*Settings!$B$12,Settings!$B$4*$E35),"")))</f>
        <v/>
      </c>
      <c r="H35" s="26" t="str">
        <f aca="false">IF($B35="","",IF(LEFT($F35,7)="NEITHER","Cannot be weighed — split it, premix it, or raise the batch size",IF($G35&gt;Settings!$B$4*$E35+0.0001,"Held to the scale's resolution, not "&amp;TEXT(Settings!$B$4,"0%"),"")))</f>
        <v/>
      </c>
    </row>
    <row r="36" customFormat="false" ht="15" hidden="false" customHeight="false" outlineLevel="0" collapsed="false">
      <c r="A36" s="20" t="str">
        <f aca="false">IF($B36="","",29)</f>
        <v/>
      </c>
      <c r="B36" s="21"/>
      <c r="C36" s="22"/>
      <c r="D36" s="23" t="str">
        <f aca="false">IF($B36="","",$C36/1000)</f>
        <v/>
      </c>
      <c r="E36" s="24" t="str">
        <f aca="false">IF($B36="","",$D36*$C$4)</f>
        <v/>
      </c>
      <c r="F36" s="25" t="str">
        <f aca="false">IF($B36="","",IF($E36&lt;=0,"NEITHER — zero",IF($E36&gt;=Settings!$B$19,Settings!$B$6,IF($E36&gt;Settings!$B$14,"NEITHER — over bench capacity",IF($E36&gt;=2*Settings!$B$12,Settings!$B$11,"NEITHER — under bench resolution")))))</f>
        <v/>
      </c>
      <c r="G36" s="24" t="str">
        <f aca="false">IF($B36="","",IF($F36=Settings!$B$6,MAX(2*Settings!$B$7,Settings!$B$4*$E36),IF($F36=Settings!$B$11,MAX(2*Settings!$B$12,Settings!$B$4*$E36),"")))</f>
        <v/>
      </c>
      <c r="H36" s="26" t="str">
        <f aca="false">IF($B36="","",IF(LEFT($F36,7)="NEITHER","Cannot be weighed — split it, premix it, or raise the batch size",IF($G36&gt;Settings!$B$4*$E36+0.0001,"Held to the scale's resolution, not "&amp;TEXT(Settings!$B$4,"0%"),"")))</f>
        <v/>
      </c>
    </row>
    <row r="37" customFormat="false" ht="15" hidden="false" customHeight="false" outlineLevel="0" collapsed="false">
      <c r="A37" s="20" t="str">
        <f aca="false">IF($B37="","",30)</f>
        <v/>
      </c>
      <c r="B37" s="21"/>
      <c r="C37" s="22"/>
      <c r="D37" s="23" t="str">
        <f aca="false">IF($B37="","",$C37/1000)</f>
        <v/>
      </c>
      <c r="E37" s="24" t="str">
        <f aca="false">IF($B37="","",$D37*$C$4)</f>
        <v/>
      </c>
      <c r="F37" s="25" t="str">
        <f aca="false">IF($B37="","",IF($E37&lt;=0,"NEITHER — zero",IF($E37&gt;=Settings!$B$19,Settings!$B$6,IF($E37&gt;Settings!$B$14,"NEITHER — over bench capacity",IF($E37&gt;=2*Settings!$B$12,Settings!$B$11,"NEITHER — under bench resolution")))))</f>
        <v/>
      </c>
      <c r="G37" s="24" t="str">
        <f aca="false">IF($B37="","",IF($F37=Settings!$B$6,MAX(2*Settings!$B$7,Settings!$B$4*$E37),IF($F37=Settings!$B$11,MAX(2*Settings!$B$12,Settings!$B$4*$E37),"")))</f>
        <v/>
      </c>
      <c r="H37" s="26" t="str">
        <f aca="false">IF($B37="","",IF(LEFT($F37,7)="NEITHER","Cannot be weighed — split it, premix it, or raise the batch size",IF($G37&gt;Settings!$B$4*$E37+0.0001,"Held to the scale's resolution, not "&amp;TEXT(Settings!$B$4,"0%"),"")))</f>
        <v/>
      </c>
    </row>
    <row r="38" customFormat="false" ht="15" hidden="false" customHeight="false" outlineLevel="0" collapsed="false">
      <c r="A38" s="20" t="str">
        <f aca="false">IF($B38="","",31)</f>
        <v/>
      </c>
      <c r="B38" s="21"/>
      <c r="C38" s="22"/>
      <c r="D38" s="23" t="str">
        <f aca="false">IF($B38="","",$C38/1000)</f>
        <v/>
      </c>
      <c r="E38" s="24" t="str">
        <f aca="false">IF($B38="","",$D38*$C$4)</f>
        <v/>
      </c>
      <c r="F38" s="25" t="str">
        <f aca="false">IF($B38="","",IF($E38&lt;=0,"NEITHER — zero",IF($E38&gt;=Settings!$B$19,Settings!$B$6,IF($E38&gt;Settings!$B$14,"NEITHER — over bench capacity",IF($E38&gt;=2*Settings!$B$12,Settings!$B$11,"NEITHER — under bench resolution")))))</f>
        <v/>
      </c>
      <c r="G38" s="24" t="str">
        <f aca="false">IF($B38="","",IF($F38=Settings!$B$6,MAX(2*Settings!$B$7,Settings!$B$4*$E38),IF($F38=Settings!$B$11,MAX(2*Settings!$B$12,Settings!$B$4*$E38),"")))</f>
        <v/>
      </c>
      <c r="H38" s="26" t="str">
        <f aca="false">IF($B38="","",IF(LEFT($F38,7)="NEITHER","Cannot be weighed — split it, premix it, or raise the batch size",IF($G38&gt;Settings!$B$4*$E38+0.0001,"Held to the scale's resolution, not "&amp;TEXT(Settings!$B$4,"0%"),"")))</f>
        <v/>
      </c>
    </row>
    <row r="39" customFormat="false" ht="15" hidden="false" customHeight="false" outlineLevel="0" collapsed="false">
      <c r="A39" s="20" t="str">
        <f aca="false">IF($B39="","",32)</f>
        <v/>
      </c>
      <c r="B39" s="21"/>
      <c r="C39" s="22"/>
      <c r="D39" s="23" t="str">
        <f aca="false">IF($B39="","",$C39/1000)</f>
        <v/>
      </c>
      <c r="E39" s="24" t="str">
        <f aca="false">IF($B39="","",$D39*$C$4)</f>
        <v/>
      </c>
      <c r="F39" s="25" t="str">
        <f aca="false">IF($B39="","",IF($E39&lt;=0,"NEITHER — zero",IF($E39&gt;=Settings!$B$19,Settings!$B$6,IF($E39&gt;Settings!$B$14,"NEITHER — over bench capacity",IF($E39&gt;=2*Settings!$B$12,Settings!$B$11,"NEITHER — under bench resolution")))))</f>
        <v/>
      </c>
      <c r="G39" s="24" t="str">
        <f aca="false">IF($B39="","",IF($F39=Settings!$B$6,MAX(2*Settings!$B$7,Settings!$B$4*$E39),IF($F39=Settings!$B$11,MAX(2*Settings!$B$12,Settings!$B$4*$E39),"")))</f>
        <v/>
      </c>
      <c r="H39" s="26" t="str">
        <f aca="false">IF($B39="","",IF(LEFT($F39,7)="NEITHER","Cannot be weighed — split it, premix it, or raise the batch size",IF($G39&gt;Settings!$B$4*$E39+0.0001,"Held to the scale's resolution, not "&amp;TEXT(Settings!$B$4,"0%"),"")))</f>
        <v/>
      </c>
    </row>
    <row r="40" customFormat="false" ht="15" hidden="false" customHeight="false" outlineLevel="0" collapsed="false">
      <c r="A40" s="20" t="str">
        <f aca="false">IF($B40="","",33)</f>
        <v/>
      </c>
      <c r="B40" s="21"/>
      <c r="C40" s="22"/>
      <c r="D40" s="23" t="str">
        <f aca="false">IF($B40="","",$C40/1000)</f>
        <v/>
      </c>
      <c r="E40" s="24" t="str">
        <f aca="false">IF($B40="","",$D40*$C$4)</f>
        <v/>
      </c>
      <c r="F40" s="25" t="str">
        <f aca="false">IF($B40="","",IF($E40&lt;=0,"NEITHER — zero",IF($E40&gt;=Settings!$B$19,Settings!$B$6,IF($E40&gt;Settings!$B$14,"NEITHER — over bench capacity",IF($E40&gt;=2*Settings!$B$12,Settings!$B$11,"NEITHER — under bench resolution")))))</f>
        <v/>
      </c>
      <c r="G40" s="24" t="str">
        <f aca="false">IF($B40="","",IF($F40=Settings!$B$6,MAX(2*Settings!$B$7,Settings!$B$4*$E40),IF($F40=Settings!$B$11,MAX(2*Settings!$B$12,Settings!$B$4*$E40),"")))</f>
        <v/>
      </c>
      <c r="H40" s="26" t="str">
        <f aca="false">IF($B40="","",IF(LEFT($F40,7)="NEITHER","Cannot be weighed — split it, premix it, or raise the batch size",IF($G40&gt;Settings!$B$4*$E40+0.0001,"Held to the scale's resolution, not "&amp;TEXT(Settings!$B$4,"0%"),"")))</f>
        <v/>
      </c>
    </row>
    <row r="41" customFormat="false" ht="15" hidden="false" customHeight="false" outlineLevel="0" collapsed="false">
      <c r="A41" s="20" t="str">
        <f aca="false">IF($B41="","",34)</f>
        <v/>
      </c>
      <c r="B41" s="21"/>
      <c r="C41" s="22"/>
      <c r="D41" s="23" t="str">
        <f aca="false">IF($B41="","",$C41/1000)</f>
        <v/>
      </c>
      <c r="E41" s="24" t="str">
        <f aca="false">IF($B41="","",$D41*$C$4)</f>
        <v/>
      </c>
      <c r="F41" s="25" t="str">
        <f aca="false">IF($B41="","",IF($E41&lt;=0,"NEITHER — zero",IF($E41&gt;=Settings!$B$19,Settings!$B$6,IF($E41&gt;Settings!$B$14,"NEITHER — over bench capacity",IF($E41&gt;=2*Settings!$B$12,Settings!$B$11,"NEITHER — under bench resolution")))))</f>
        <v/>
      </c>
      <c r="G41" s="24" t="str">
        <f aca="false">IF($B41="","",IF($F41=Settings!$B$6,MAX(2*Settings!$B$7,Settings!$B$4*$E41),IF($F41=Settings!$B$11,MAX(2*Settings!$B$12,Settings!$B$4*$E41),"")))</f>
        <v/>
      </c>
      <c r="H41" s="26" t="str">
        <f aca="false">IF($B41="","",IF(LEFT($F41,7)="NEITHER","Cannot be weighed — split it, premix it, or raise the batch size",IF($G41&gt;Settings!$B$4*$E41+0.0001,"Held to the scale's resolution, not "&amp;TEXT(Settings!$B$4,"0%"),"")))</f>
        <v/>
      </c>
    </row>
    <row r="42" customFormat="false" ht="15" hidden="false" customHeight="false" outlineLevel="0" collapsed="false">
      <c r="A42" s="20" t="str">
        <f aca="false">IF($B42="","",35)</f>
        <v/>
      </c>
      <c r="B42" s="21"/>
      <c r="C42" s="22"/>
      <c r="D42" s="23" t="str">
        <f aca="false">IF($B42="","",$C42/1000)</f>
        <v/>
      </c>
      <c r="E42" s="24" t="str">
        <f aca="false">IF($B42="","",$D42*$C$4)</f>
        <v/>
      </c>
      <c r="F42" s="25" t="str">
        <f aca="false">IF($B42="","",IF($E42&lt;=0,"NEITHER — zero",IF($E42&gt;=Settings!$B$19,Settings!$B$6,IF($E42&gt;Settings!$B$14,"NEITHER — over bench capacity",IF($E42&gt;=2*Settings!$B$12,Settings!$B$11,"NEITHER — under bench resolution")))))</f>
        <v/>
      </c>
      <c r="G42" s="24" t="str">
        <f aca="false">IF($B42="","",IF($F42=Settings!$B$6,MAX(2*Settings!$B$7,Settings!$B$4*$E42),IF($F42=Settings!$B$11,MAX(2*Settings!$B$12,Settings!$B$4*$E42),"")))</f>
        <v/>
      </c>
      <c r="H42" s="26" t="str">
        <f aca="false">IF($B42="","",IF(LEFT($F42,7)="NEITHER","Cannot be weighed — split it, premix it, or raise the batch size",IF($G42&gt;Settings!$B$4*$E42+0.0001,"Held to the scale's resolution, not "&amp;TEXT(Settings!$B$4,"0%"),"")))</f>
        <v/>
      </c>
    </row>
    <row r="43" customFormat="false" ht="15" hidden="false" customHeight="false" outlineLevel="0" collapsed="false">
      <c r="A43" s="20" t="str">
        <f aca="false">IF($B43="","",36)</f>
        <v/>
      </c>
      <c r="B43" s="21"/>
      <c r="C43" s="22"/>
      <c r="D43" s="23" t="str">
        <f aca="false">IF($B43="","",$C43/1000)</f>
        <v/>
      </c>
      <c r="E43" s="24" t="str">
        <f aca="false">IF($B43="","",$D43*$C$4)</f>
        <v/>
      </c>
      <c r="F43" s="25" t="str">
        <f aca="false">IF($B43="","",IF($E43&lt;=0,"NEITHER — zero",IF($E43&gt;=Settings!$B$19,Settings!$B$6,IF($E43&gt;Settings!$B$14,"NEITHER — over bench capacity",IF($E43&gt;=2*Settings!$B$12,Settings!$B$11,"NEITHER — under bench resolution")))))</f>
        <v/>
      </c>
      <c r="G43" s="24" t="str">
        <f aca="false">IF($B43="","",IF($F43=Settings!$B$6,MAX(2*Settings!$B$7,Settings!$B$4*$E43),IF($F43=Settings!$B$11,MAX(2*Settings!$B$12,Settings!$B$4*$E43),"")))</f>
        <v/>
      </c>
      <c r="H43" s="26" t="str">
        <f aca="false">IF($B43="","",IF(LEFT($F43,7)="NEITHER","Cannot be weighed — split it, premix it, or raise the batch size",IF($G43&gt;Settings!$B$4*$E43+0.0001,"Held to the scale's resolution, not "&amp;TEXT(Settings!$B$4,"0%"),"")))</f>
        <v/>
      </c>
    </row>
    <row r="44" customFormat="false" ht="15" hidden="false" customHeight="false" outlineLevel="0" collapsed="false">
      <c r="A44" s="20" t="str">
        <f aca="false">IF($B44="","",37)</f>
        <v/>
      </c>
      <c r="B44" s="21"/>
      <c r="C44" s="22"/>
      <c r="D44" s="23" t="str">
        <f aca="false">IF($B44="","",$C44/1000)</f>
        <v/>
      </c>
      <c r="E44" s="24" t="str">
        <f aca="false">IF($B44="","",$D44*$C$4)</f>
        <v/>
      </c>
      <c r="F44" s="25" t="str">
        <f aca="false">IF($B44="","",IF($E44&lt;=0,"NEITHER — zero",IF($E44&gt;=Settings!$B$19,Settings!$B$6,IF($E44&gt;Settings!$B$14,"NEITHER — over bench capacity",IF($E44&gt;=2*Settings!$B$12,Settings!$B$11,"NEITHER — under bench resolution")))))</f>
        <v/>
      </c>
      <c r="G44" s="24" t="str">
        <f aca="false">IF($B44="","",IF($F44=Settings!$B$6,MAX(2*Settings!$B$7,Settings!$B$4*$E44),IF($F44=Settings!$B$11,MAX(2*Settings!$B$12,Settings!$B$4*$E44),"")))</f>
        <v/>
      </c>
      <c r="H44" s="26" t="str">
        <f aca="false">IF($B44="","",IF(LEFT($F44,7)="NEITHER","Cannot be weighed — split it, premix it, or raise the batch size",IF($G44&gt;Settings!$B$4*$E44+0.0001,"Held to the scale's resolution, not "&amp;TEXT(Settings!$B$4,"0%"),"")))</f>
        <v/>
      </c>
    </row>
    <row r="45" customFormat="false" ht="15" hidden="false" customHeight="false" outlineLevel="0" collapsed="false">
      <c r="A45" s="20" t="str">
        <f aca="false">IF($B45="","",38)</f>
        <v/>
      </c>
      <c r="B45" s="21"/>
      <c r="C45" s="22"/>
      <c r="D45" s="23" t="str">
        <f aca="false">IF($B45="","",$C45/1000)</f>
        <v/>
      </c>
      <c r="E45" s="24" t="str">
        <f aca="false">IF($B45="","",$D45*$C$4)</f>
        <v/>
      </c>
      <c r="F45" s="25" t="str">
        <f aca="false">IF($B45="","",IF($E45&lt;=0,"NEITHER — zero",IF($E45&gt;=Settings!$B$19,Settings!$B$6,IF($E45&gt;Settings!$B$14,"NEITHER — over bench capacity",IF($E45&gt;=2*Settings!$B$12,Settings!$B$11,"NEITHER — under bench resolution")))))</f>
        <v/>
      </c>
      <c r="G45" s="24" t="str">
        <f aca="false">IF($B45="","",IF($F45=Settings!$B$6,MAX(2*Settings!$B$7,Settings!$B$4*$E45),IF($F45=Settings!$B$11,MAX(2*Settings!$B$12,Settings!$B$4*$E45),"")))</f>
        <v/>
      </c>
      <c r="H45" s="26" t="str">
        <f aca="false">IF($B45="","",IF(LEFT($F45,7)="NEITHER","Cannot be weighed — split it, premix it, or raise the batch size",IF($G45&gt;Settings!$B$4*$E45+0.0001,"Held to the scale's resolution, not "&amp;TEXT(Settings!$B$4,"0%"),"")))</f>
        <v/>
      </c>
    </row>
    <row r="46" customFormat="false" ht="15" hidden="false" customHeight="false" outlineLevel="0" collapsed="false">
      <c r="A46" s="20" t="str">
        <f aca="false">IF($B46="","",39)</f>
        <v/>
      </c>
      <c r="B46" s="21"/>
      <c r="C46" s="22"/>
      <c r="D46" s="23" t="str">
        <f aca="false">IF($B46="","",$C46/1000)</f>
        <v/>
      </c>
      <c r="E46" s="24" t="str">
        <f aca="false">IF($B46="","",$D46*$C$4)</f>
        <v/>
      </c>
      <c r="F46" s="25" t="str">
        <f aca="false">IF($B46="","",IF($E46&lt;=0,"NEITHER — zero",IF($E46&gt;=Settings!$B$19,Settings!$B$6,IF($E46&gt;Settings!$B$14,"NEITHER — over bench capacity",IF($E46&gt;=2*Settings!$B$12,Settings!$B$11,"NEITHER — under bench resolution")))))</f>
        <v/>
      </c>
      <c r="G46" s="24" t="str">
        <f aca="false">IF($B46="","",IF($F46=Settings!$B$6,MAX(2*Settings!$B$7,Settings!$B$4*$E46),IF($F46=Settings!$B$11,MAX(2*Settings!$B$12,Settings!$B$4*$E46),"")))</f>
        <v/>
      </c>
      <c r="H46" s="26" t="str">
        <f aca="false">IF($B46="","",IF(LEFT($F46,7)="NEITHER","Cannot be weighed — split it, premix it, or raise the batch size",IF($G46&gt;Settings!$B$4*$E46+0.0001,"Held to the scale's resolution, not "&amp;TEXT(Settings!$B$4,"0%"),"")))</f>
        <v/>
      </c>
    </row>
    <row r="47" customFormat="false" ht="15" hidden="false" customHeight="false" outlineLevel="0" collapsed="false">
      <c r="A47" s="20" t="str">
        <f aca="false">IF($B47="","",40)</f>
        <v/>
      </c>
      <c r="B47" s="21"/>
      <c r="C47" s="22"/>
      <c r="D47" s="23" t="str">
        <f aca="false">IF($B47="","",$C47/1000)</f>
        <v/>
      </c>
      <c r="E47" s="24" t="str">
        <f aca="false">IF($B47="","",$D47*$C$4)</f>
        <v/>
      </c>
      <c r="F47" s="25" t="str">
        <f aca="false">IF($B47="","",IF($E47&lt;=0,"NEITHER — zero",IF($E47&gt;=Settings!$B$19,Settings!$B$6,IF($E47&gt;Settings!$B$14,"NEITHER — over bench capacity",IF($E47&gt;=2*Settings!$B$12,Settings!$B$11,"NEITHER — under bench resolution")))))</f>
        <v/>
      </c>
      <c r="G47" s="24" t="str">
        <f aca="false">IF($B47="","",IF($F47=Settings!$B$6,MAX(2*Settings!$B$7,Settings!$B$4*$E47),IF($F47=Settings!$B$11,MAX(2*Settings!$B$12,Settings!$B$4*$E47),"")))</f>
        <v/>
      </c>
      <c r="H47" s="26" t="str">
        <f aca="false">IF($B47="","",IF(LEFT($F47,7)="NEITHER","Cannot be weighed — split it, premix it, or raise the batch size",IF($G47&gt;Settings!$B$4*$E47+0.0001,"Held to the scale's resolution, not "&amp;TEXT(Settings!$B$4,"0%"),"")))</f>
        <v/>
      </c>
    </row>
    <row r="49" customFormat="false" ht="15" hidden="false" customHeight="false" outlineLevel="0" collapsed="false">
      <c r="B49" s="27" t="s">
        <v>77</v>
      </c>
      <c r="C49" s="28" t="n">
        <f aca="false">SUM(C8:C47)</f>
        <v>7.5</v>
      </c>
      <c r="D49" s="29" t="n">
        <f aca="false">SUM(D8:D47)</f>
        <v>0.0075</v>
      </c>
      <c r="E49" s="28" t="n">
        <f aca="false">SUM(E8:E47)</f>
        <v>24</v>
      </c>
    </row>
    <row r="50" customFormat="false" ht="15" hidden="false" customHeight="false" outlineLevel="0" collapsed="false">
      <c r="B50" s="5" t="s">
        <v>78</v>
      </c>
      <c r="E50" s="30" t="n">
        <f aca="false">$C$4+E49</f>
        <v>3224</v>
      </c>
    </row>
    <row r="52" customFormat="false" ht="15" hidden="false" customHeight="false" outlineLevel="0" collapsed="false">
      <c r="B52" s="15" t="str">
        <f aca="false">IF(COUNTIF($F$8:$F$47,"NEITHER*")=0,"All ingredients can be weighed.","WARNING: "&amp;COUNTIF($F$8:$F$47,"NEITHER*")&amp;" ingredient(s) cannot be weighed on either scale — see the Note column.")</f>
        <v>All ingredients can be weighed.</v>
      </c>
      <c r="C52" s="15"/>
      <c r="D52" s="15"/>
      <c r="E52" s="15"/>
      <c r="F52" s="15"/>
      <c r="G52" s="15"/>
      <c r="H52" s="15"/>
    </row>
  </sheetData>
  <mergeCells count="11">
    <mergeCell ref="A1:H1"/>
    <mergeCell ref="A2:H2"/>
    <mergeCell ref="A4:B4"/>
    <mergeCell ref="D4:H4"/>
    <mergeCell ref="A5:B5"/>
    <mergeCell ref="D5:E5"/>
    <mergeCell ref="F5:H5"/>
    <mergeCell ref="A6:B6"/>
    <mergeCell ref="D6:E6"/>
    <mergeCell ref="F6:H6"/>
    <mergeCell ref="B52:H52"/>
  </mergeCells>
  <conditionalFormatting sqref="B52:H52">
    <cfRule type="expression" priority="2" aboveAverage="0" equalAverage="0" bottom="0" percent="0" rank="0" text="" dxfId="0">
      <formula>LEFT($B$52,5)="ERROR"</formula>
    </cfRule>
  </conditionalFormatting>
  <conditionalFormatting sqref="A8:H47">
    <cfRule type="expression" priority="3" aboveAverage="0" equalAverage="0" bottom="0" percent="0" rank="0" text="" dxfId="1">
      <formula>LEFT($F8,7)="NEITHER"</formula>
    </cfRule>
    <cfRule type="expression" priority="4" aboveAverage="0" equalAverage="0" bottom="0" percent="0" rank="0" text="" dxfId="2">
      <formula>AND($B8&lt;&gt;"",$H8&lt;&gt;"")</formula>
    </cfRule>
  </conditionalFormatting>
  <dataValidations count="1">
    <dataValidation allowBlank="true" errorStyle="stop" operator="between" showDropDown="false" showErrorMessage="false" showInputMessage="false" sqref="B8:B47" type="list">
      <formula1>IngredientList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94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9" t="s">
        <v>96</v>
      </c>
      <c r="B4" s="19" t="s">
        <v>97</v>
      </c>
      <c r="C4" s="19" t="s">
        <v>98</v>
      </c>
      <c r="D4" s="19" t="s">
        <v>99</v>
      </c>
      <c r="E4" s="19" t="s">
        <v>100</v>
      </c>
      <c r="F4" s="19" t="s">
        <v>101</v>
      </c>
      <c r="G4" s="19" t="s">
        <v>102</v>
      </c>
    </row>
    <row r="5" customFormat="false" ht="15" hidden="false" customHeight="false" outlineLevel="0" collapsed="false">
      <c r="A5" s="27" t="s">
        <v>43</v>
      </c>
      <c r="B5" s="34" t="n">
        <f aca="false">COUNTA(Teriyaki!$B$8:$B$47)</f>
        <v>16</v>
      </c>
      <c r="C5" s="24" t="n">
        <f aca="false">Teriyaki!$C$49</f>
        <v>255.05</v>
      </c>
      <c r="D5" s="23" t="n">
        <f aca="false">Teriyaki!$D$49</f>
        <v>0.25505</v>
      </c>
      <c r="E5" s="34" t="n">
        <f aca="false">COUNTIF(Teriyaki!$F$8:$F$47,Settings!$B$6)</f>
        <v>0</v>
      </c>
      <c r="F5" s="34" t="n">
        <f aca="false">COUNTIF(Teriyaki!$F$8:$F$47,Settings!$B$11)</f>
        <v>15</v>
      </c>
      <c r="G5" s="34" t="n">
        <f aca="false">COUNTIF(Teriyaki!$F$8:$F$47,"NEITHER*")</f>
        <v>1</v>
      </c>
    </row>
    <row r="6" customFormat="false" ht="15" hidden="false" customHeight="false" outlineLevel="0" collapsed="false">
      <c r="A6" s="27" t="s">
        <v>79</v>
      </c>
      <c r="B6" s="34" t="n">
        <f aca="false">COUNTA(Gochujang!$B$8:$B$47)</f>
        <v>1</v>
      </c>
      <c r="C6" s="24" t="n">
        <f aca="false">Gochujang!$C$49</f>
        <v>7.5</v>
      </c>
      <c r="D6" s="23" t="n">
        <f aca="false">Gochujang!$D$49</f>
        <v>0.0075</v>
      </c>
      <c r="E6" s="34" t="n">
        <f aca="false">COUNTIF(Gochujang!$F$8:$F$47,Settings!$B$6)</f>
        <v>0</v>
      </c>
      <c r="F6" s="34" t="n">
        <f aca="false">COUNTIF(Gochujang!$F$8:$F$47,Settings!$B$11)</f>
        <v>1</v>
      </c>
      <c r="G6" s="34" t="n">
        <f aca="false">COUNTIF(Gochujang!$F$8:$F$47,"NEITHER*")</f>
        <v>0</v>
      </c>
    </row>
    <row r="7" customFormat="false" ht="15" hidden="false" customHeight="false" outlineLevel="0" collapsed="false">
      <c r="A7" s="27" t="s">
        <v>84</v>
      </c>
      <c r="B7" s="34" t="n">
        <f aca="false">COUNTA(Pepper!$B$8:$B$47)</f>
        <v>1</v>
      </c>
      <c r="C7" s="24" t="n">
        <f aca="false">Pepper!$C$49</f>
        <v>7.5</v>
      </c>
      <c r="D7" s="23" t="n">
        <f aca="false">Pepper!$D$49</f>
        <v>0.0075</v>
      </c>
      <c r="E7" s="34" t="n">
        <f aca="false">COUNTIF(Pepper!$F$8:$F$47,Settings!$B$6)</f>
        <v>0</v>
      </c>
      <c r="F7" s="34" t="n">
        <f aca="false">COUNTIF(Pepper!$F$8:$F$47,Settings!$B$11)</f>
        <v>1</v>
      </c>
      <c r="G7" s="34" t="n">
        <f aca="false">COUNTIF(Pepper!$F$8:$F$47,"NEITHER*")</f>
        <v>0</v>
      </c>
    </row>
    <row r="8" customFormat="false" ht="15" hidden="false" customHeight="false" outlineLevel="0" collapsed="false">
      <c r="A8" s="27" t="s">
        <v>86</v>
      </c>
      <c r="B8" s="34" t="n">
        <f aca="false">COUNTA(Nati!$B$8:$B$47)</f>
        <v>1</v>
      </c>
      <c r="C8" s="24" t="n">
        <f aca="false">Nati!$C$49</f>
        <v>7.5</v>
      </c>
      <c r="D8" s="23" t="n">
        <f aca="false">Nati!$D$49</f>
        <v>0.0075</v>
      </c>
      <c r="E8" s="34" t="n">
        <f aca="false">COUNTIF(Nati!$F$8:$F$47,Settings!$B$6)</f>
        <v>0</v>
      </c>
      <c r="F8" s="34" t="n">
        <f aca="false">COUNTIF(Nati!$F$8:$F$47,Settings!$B$11)</f>
        <v>1</v>
      </c>
      <c r="G8" s="34" t="n">
        <f aca="false">COUNTIF(Nati!$F$8:$F$47,"NEITHER*")</f>
        <v>0</v>
      </c>
    </row>
    <row r="9" customFormat="false" ht="15" hidden="false" customHeight="false" outlineLevel="0" collapsed="false">
      <c r="A9" s="27" t="s">
        <v>88</v>
      </c>
      <c r="B9" s="34" t="n">
        <f aca="false">COUNTA('Kerela Fry'!$B$8:$B$47)</f>
        <v>1</v>
      </c>
      <c r="C9" s="24" t="n">
        <f aca="false">'Kerela Fry'!$C$49</f>
        <v>7.5</v>
      </c>
      <c r="D9" s="23" t="n">
        <f aca="false">'Kerela Fry'!$D$49</f>
        <v>0.0075</v>
      </c>
      <c r="E9" s="34" t="n">
        <f aca="false">COUNTIF('Kerela Fry'!$F$8:$F$47,Settings!$B$6)</f>
        <v>0</v>
      </c>
      <c r="F9" s="34" t="n">
        <f aca="false">COUNTIF('Kerela Fry'!$F$8:$F$47,Settings!$B$11)</f>
        <v>1</v>
      </c>
      <c r="G9" s="34" t="n">
        <f aca="false">COUNTIF('Kerela Fry'!$F$8:$F$47,"NEITHER*")</f>
        <v>0</v>
      </c>
    </row>
    <row r="10" customFormat="false" ht="15" hidden="false" customHeight="false" outlineLevel="0" collapsed="false">
      <c r="A10" s="27" t="s">
        <v>90</v>
      </c>
      <c r="B10" s="34" t="n">
        <f aca="false">COUNTA(Mughlai!$B$8:$B$47)</f>
        <v>1</v>
      </c>
      <c r="C10" s="24" t="n">
        <f aca="false">Mughlai!$C$49</f>
        <v>7.5</v>
      </c>
      <c r="D10" s="23" t="n">
        <f aca="false">Mughlai!$D$49</f>
        <v>0.0075</v>
      </c>
      <c r="E10" s="34" t="n">
        <f aca="false">COUNTIF(Mughlai!$F$8:$F$47,Settings!$B$6)</f>
        <v>0</v>
      </c>
      <c r="F10" s="34" t="n">
        <f aca="false">COUNTIF(Mughlai!$F$8:$F$47,Settings!$B$11)</f>
        <v>1</v>
      </c>
      <c r="G10" s="34" t="n">
        <f aca="false">COUNTIF(Mughlai!$F$8:$F$47,"NEITHER*")</f>
        <v>0</v>
      </c>
    </row>
    <row r="11" customFormat="false" ht="15" hidden="false" customHeight="false" outlineLevel="0" collapsed="false">
      <c r="A11" s="27" t="s">
        <v>92</v>
      </c>
      <c r="B11" s="34" t="n">
        <f aca="false">COUNTA(Masala!$B$8:$B$47)</f>
        <v>1</v>
      </c>
      <c r="C11" s="24" t="n">
        <f aca="false">Masala!$C$49</f>
        <v>7.5</v>
      </c>
      <c r="D11" s="23" t="n">
        <f aca="false">Masala!$D$49</f>
        <v>0.0075</v>
      </c>
      <c r="E11" s="34" t="n">
        <f aca="false">COUNTIF(Masala!$F$8:$F$47,Settings!$B$6)</f>
        <v>0</v>
      </c>
      <c r="F11" s="34" t="n">
        <f aca="false">COUNTIF(Masala!$F$8:$F$47,Settings!$B$11)</f>
        <v>1</v>
      </c>
      <c r="G11" s="34" t="n">
        <f aca="false">COUNTIF(Masala!$F$8:$F$47,"NEITHER*")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103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5" t="s">
        <v>54</v>
      </c>
    </row>
    <row r="5" customFormat="false" ht="15" hidden="false" customHeight="false" outlineLevel="0" collapsed="false">
      <c r="A5" s="34" t="s">
        <v>75</v>
      </c>
      <c r="C5" s="36" t="n">
        <f aca="false">COUNTIF(Teriyaki!$B$8:$B$47,$A5) + COUNTIF(Gochujang!$B$8:$B$47,$A5) + COUNTIF(Pepper!$B$8:$B$47,$A5) + COUNTIF(Nati!$B$8:$B$47,$A5) + COUNTIF('Kerela Fry'!$B$8:$B$47,$A5) + COUNTIF(Mughlai!$B$8:$B$47,$A5) + COUNTIF(Masala!$B$8:$B$47,$A5)</f>
        <v>1</v>
      </c>
    </row>
    <row r="6" customFormat="false" ht="15" hidden="false" customHeight="false" outlineLevel="0" collapsed="false">
      <c r="A6" s="34" t="s">
        <v>81</v>
      </c>
      <c r="C6" s="36" t="n">
        <f aca="false">COUNTIF(Teriyaki!$B$8:$B$47,$A6) + COUNTIF(Gochujang!$B$8:$B$47,$A6) + COUNTIF(Pepper!$B$8:$B$47,$A6) + COUNTIF(Nati!$B$8:$B$47,$A6) + COUNTIF('Kerela Fry'!$B$8:$B$47,$A6) + COUNTIF(Mughlai!$B$8:$B$47,$A6) + COUNTIF(Masala!$B$8:$B$47,$A6)</f>
        <v>0</v>
      </c>
    </row>
    <row r="7" customFormat="false" ht="15" hidden="false" customHeight="false" outlineLevel="0" collapsed="false">
      <c r="A7" s="34" t="s">
        <v>72</v>
      </c>
      <c r="C7" s="36" t="n">
        <f aca="false">COUNTIF(Teriyaki!$B$8:$B$47,$A7) + COUNTIF(Gochujang!$B$8:$B$47,$A7) + COUNTIF(Pepper!$B$8:$B$47,$A7) + COUNTIF(Nati!$B$8:$B$47,$A7) + COUNTIF('Kerela Fry'!$B$8:$B$47,$A7) + COUNTIF(Mughlai!$B$8:$B$47,$A7) + COUNTIF(Masala!$B$8:$B$47,$A7)</f>
        <v>1</v>
      </c>
    </row>
    <row r="8" customFormat="false" ht="15" hidden="false" customHeight="false" outlineLevel="0" collapsed="false">
      <c r="A8" s="34" t="s">
        <v>105</v>
      </c>
      <c r="C8" s="36" t="n">
        <f aca="false">COUNTIF(Teriyaki!$B$8:$B$47,$A8) + COUNTIF(Gochujang!$B$8:$B$47,$A8) + COUNTIF(Pepper!$B$8:$B$47,$A8) + COUNTIF(Nati!$B$8:$B$47,$A8) + COUNTIF('Kerela Fry'!$B$8:$B$47,$A8) + COUNTIF(Mughlai!$B$8:$B$47,$A8) + COUNTIF(Masala!$B$8:$B$47,$A8)</f>
        <v>0</v>
      </c>
    </row>
    <row r="9" customFormat="false" ht="15" hidden="false" customHeight="false" outlineLevel="0" collapsed="false">
      <c r="A9" s="34" t="s">
        <v>106</v>
      </c>
      <c r="C9" s="36" t="n">
        <f aca="false">COUNTIF(Teriyaki!$B$8:$B$47,$A9) + COUNTIF(Gochujang!$B$8:$B$47,$A9) + COUNTIF(Pepper!$B$8:$B$47,$A9) + COUNTIF(Nati!$B$8:$B$47,$A9) + COUNTIF('Kerela Fry'!$B$8:$B$47,$A9) + COUNTIF(Mughlai!$B$8:$B$47,$A9) + COUNTIF(Masala!$B$8:$B$47,$A9)</f>
        <v>0</v>
      </c>
    </row>
    <row r="10" customFormat="false" ht="15" hidden="false" customHeight="false" outlineLevel="0" collapsed="false">
      <c r="A10" s="34" t="s">
        <v>71</v>
      </c>
      <c r="C10" s="36" t="n">
        <f aca="false">COUNTIF(Teriyaki!$B$8:$B$47,$A10) + COUNTIF(Gochujang!$B$8:$B$47,$A10) + COUNTIF(Pepper!$B$8:$B$47,$A10) + COUNTIF(Nati!$B$8:$B$47,$A10) + COUNTIF('Kerela Fry'!$B$8:$B$47,$A10) + COUNTIF(Mughlai!$B$8:$B$47,$A10) + COUNTIF(Masala!$B$8:$B$47,$A10)</f>
        <v>1</v>
      </c>
    </row>
    <row r="11" customFormat="false" ht="15" hidden="false" customHeight="false" outlineLevel="0" collapsed="false">
      <c r="A11" s="34" t="s">
        <v>107</v>
      </c>
      <c r="C11" s="36" t="n">
        <f aca="false">COUNTIF(Teriyaki!$B$8:$B$47,$A11) + COUNTIF(Gochujang!$B$8:$B$47,$A11) + COUNTIF(Pepper!$B$8:$B$47,$A11) + COUNTIF(Nati!$B$8:$B$47,$A11) + COUNTIF('Kerela Fry'!$B$8:$B$47,$A11) + COUNTIF(Mughlai!$B$8:$B$47,$A11) + COUNTIF(Masala!$B$8:$B$47,$A11)</f>
        <v>0</v>
      </c>
    </row>
    <row r="12" customFormat="false" ht="15" hidden="false" customHeight="false" outlineLevel="0" collapsed="false">
      <c r="A12" s="34" t="s">
        <v>108</v>
      </c>
      <c r="C12" s="36" t="n">
        <f aca="false">COUNTIF(Teriyaki!$B$8:$B$47,$A12) + COUNTIF(Gochujang!$B$8:$B$47,$A12) + COUNTIF(Pepper!$B$8:$B$47,$A12) + COUNTIF(Nati!$B$8:$B$47,$A12) + COUNTIF('Kerela Fry'!$B$8:$B$47,$A12) + COUNTIF(Mughlai!$B$8:$B$47,$A12) + COUNTIF(Masala!$B$8:$B$47,$A12)</f>
        <v>0</v>
      </c>
    </row>
    <row r="13" customFormat="false" ht="15" hidden="false" customHeight="false" outlineLevel="0" collapsed="false">
      <c r="A13" s="34" t="s">
        <v>109</v>
      </c>
      <c r="C13" s="36" t="n">
        <f aca="false">COUNTIF(Teriyaki!$B$8:$B$47,$A13) + COUNTIF(Gochujang!$B$8:$B$47,$A13) + COUNTIF(Pepper!$B$8:$B$47,$A13) + COUNTIF(Nati!$B$8:$B$47,$A13) + COUNTIF('Kerela Fry'!$B$8:$B$47,$A13) + COUNTIF(Mughlai!$B$8:$B$47,$A13) + COUNTIF(Masala!$B$8:$B$47,$A13)</f>
        <v>0</v>
      </c>
    </row>
    <row r="14" customFormat="false" ht="15" hidden="false" customHeight="false" outlineLevel="0" collapsed="false">
      <c r="A14" s="34" t="s">
        <v>110</v>
      </c>
      <c r="C14" s="36" t="n">
        <f aca="false">COUNTIF(Teriyaki!$B$8:$B$47,$A14) + COUNTIF(Gochujang!$B$8:$B$47,$A14) + COUNTIF(Pepper!$B$8:$B$47,$A14) + COUNTIF(Nati!$B$8:$B$47,$A14) + COUNTIF('Kerela Fry'!$B$8:$B$47,$A14) + COUNTIF(Mughlai!$B$8:$B$47,$A14) + COUNTIF(Masala!$B$8:$B$47,$A14)</f>
        <v>0</v>
      </c>
    </row>
    <row r="15" customFormat="false" ht="15" hidden="false" customHeight="false" outlineLevel="0" collapsed="false">
      <c r="A15" s="34" t="s">
        <v>111</v>
      </c>
      <c r="C15" s="36" t="n">
        <f aca="false">COUNTIF(Teriyaki!$B$8:$B$47,$A15) + COUNTIF(Gochujang!$B$8:$B$47,$A15) + COUNTIF(Pepper!$B$8:$B$47,$A15) + COUNTIF(Nati!$B$8:$B$47,$A15) + COUNTIF('Kerela Fry'!$B$8:$B$47,$A15) + COUNTIF(Mughlai!$B$8:$B$47,$A15) + COUNTIF(Masala!$B$8:$B$47,$A15)</f>
        <v>0</v>
      </c>
    </row>
    <row r="16" customFormat="false" ht="15" hidden="false" customHeight="false" outlineLevel="0" collapsed="false">
      <c r="A16" s="34" t="s">
        <v>112</v>
      </c>
      <c r="C16" s="36" t="n">
        <f aca="false">COUNTIF(Teriyaki!$B$8:$B$47,$A16) + COUNTIF(Gochujang!$B$8:$B$47,$A16) + COUNTIF(Pepper!$B$8:$B$47,$A16) + COUNTIF(Nati!$B$8:$B$47,$A16) + COUNTIF('Kerela Fry'!$B$8:$B$47,$A16) + COUNTIF(Mughlai!$B$8:$B$47,$A16) + COUNTIF(Masala!$B$8:$B$47,$A16)</f>
        <v>0</v>
      </c>
    </row>
    <row r="17" customFormat="false" ht="15" hidden="false" customHeight="false" outlineLevel="0" collapsed="false">
      <c r="A17" s="34" t="s">
        <v>113</v>
      </c>
      <c r="C17" s="36" t="n">
        <f aca="false">COUNTIF(Teriyaki!$B$8:$B$47,$A17) + COUNTIF(Gochujang!$B$8:$B$47,$A17) + COUNTIF(Pepper!$B$8:$B$47,$A17) + COUNTIF(Nati!$B$8:$B$47,$A17) + COUNTIF('Kerela Fry'!$B$8:$B$47,$A17) + COUNTIF(Mughlai!$B$8:$B$47,$A17) + COUNTIF(Masala!$B$8:$B$47,$A17)</f>
        <v>0</v>
      </c>
    </row>
    <row r="18" customFormat="false" ht="15" hidden="false" customHeight="false" outlineLevel="0" collapsed="false">
      <c r="A18" s="34" t="s">
        <v>114</v>
      </c>
      <c r="C18" s="36" t="n">
        <f aca="false">COUNTIF(Teriyaki!$B$8:$B$47,$A18) + COUNTIF(Gochujang!$B$8:$B$47,$A18) + COUNTIF(Pepper!$B$8:$B$47,$A18) + COUNTIF(Nati!$B$8:$B$47,$A18) + COUNTIF('Kerela Fry'!$B$8:$B$47,$A18) + COUNTIF(Mughlai!$B$8:$B$47,$A18) + COUNTIF(Masala!$B$8:$B$47,$A18)</f>
        <v>0</v>
      </c>
    </row>
    <row r="19" customFormat="false" ht="15" hidden="false" customHeight="false" outlineLevel="0" collapsed="false">
      <c r="A19" s="34" t="s">
        <v>115</v>
      </c>
      <c r="C19" s="36" t="n">
        <f aca="false">COUNTIF(Teriyaki!$B$8:$B$47,$A19) + COUNTIF(Gochujang!$B$8:$B$47,$A19) + COUNTIF(Pepper!$B$8:$B$47,$A19) + COUNTIF(Nati!$B$8:$B$47,$A19) + COUNTIF('Kerela Fry'!$B$8:$B$47,$A19) + COUNTIF(Mughlai!$B$8:$B$47,$A19) + COUNTIF(Masala!$B$8:$B$47,$A19)</f>
        <v>0</v>
      </c>
    </row>
    <row r="20" customFormat="false" ht="15" hidden="false" customHeight="false" outlineLevel="0" collapsed="false">
      <c r="A20" s="34" t="s">
        <v>116</v>
      </c>
      <c r="C20" s="36" t="n">
        <f aca="false">COUNTIF(Teriyaki!$B$8:$B$47,$A20) + COUNTIF(Gochujang!$B$8:$B$47,$A20) + COUNTIF(Pepper!$B$8:$B$47,$A20) + COUNTIF(Nati!$B$8:$B$47,$A20) + COUNTIF('Kerela Fry'!$B$8:$B$47,$A20) + COUNTIF(Mughlai!$B$8:$B$47,$A20) + COUNTIF(Masala!$B$8:$B$47,$A20)</f>
        <v>0</v>
      </c>
    </row>
    <row r="21" customFormat="false" ht="15" hidden="false" customHeight="false" outlineLevel="0" collapsed="false">
      <c r="A21" s="34" t="s">
        <v>74</v>
      </c>
      <c r="C21" s="36" t="n">
        <f aca="false">COUNTIF(Teriyaki!$B$8:$B$47,$A21) + COUNTIF(Gochujang!$B$8:$B$47,$A21) + COUNTIF(Pepper!$B$8:$B$47,$A21) + COUNTIF(Nati!$B$8:$B$47,$A21) + COUNTIF('Kerela Fry'!$B$8:$B$47,$A21) + COUNTIF(Mughlai!$B$8:$B$47,$A21) + COUNTIF(Masala!$B$8:$B$47,$A21)</f>
        <v>1</v>
      </c>
    </row>
    <row r="22" customFormat="false" ht="15" hidden="false" customHeight="false" outlineLevel="0" collapsed="false">
      <c r="A22" s="34" t="s">
        <v>117</v>
      </c>
      <c r="C22" s="36" t="n">
        <f aca="false">COUNTIF(Teriyaki!$B$8:$B$47,$A22) + COUNTIF(Gochujang!$B$8:$B$47,$A22) + COUNTIF(Pepper!$B$8:$B$47,$A22) + COUNTIF(Nati!$B$8:$B$47,$A22) + COUNTIF('Kerela Fry'!$B$8:$B$47,$A22) + COUNTIF(Mughlai!$B$8:$B$47,$A22) + COUNTIF(Masala!$B$8:$B$47,$A22)</f>
        <v>0</v>
      </c>
    </row>
    <row r="23" customFormat="false" ht="15" hidden="false" customHeight="false" outlineLevel="0" collapsed="false">
      <c r="A23" s="34" t="s">
        <v>118</v>
      </c>
      <c r="C23" s="36" t="n">
        <f aca="false">COUNTIF(Teriyaki!$B$8:$B$47,$A23) + COUNTIF(Gochujang!$B$8:$B$47,$A23) + COUNTIF(Pepper!$B$8:$B$47,$A23) + COUNTIF(Nati!$B$8:$B$47,$A23) + COUNTIF('Kerela Fry'!$B$8:$B$47,$A23) + COUNTIF(Mughlai!$B$8:$B$47,$A23) + COUNTIF(Masala!$B$8:$B$47,$A23)</f>
        <v>0</v>
      </c>
    </row>
    <row r="24" customFormat="false" ht="15" hidden="false" customHeight="false" outlineLevel="0" collapsed="false">
      <c r="A24" s="34" t="s">
        <v>119</v>
      </c>
      <c r="C24" s="36" t="n">
        <f aca="false">COUNTIF(Teriyaki!$B$8:$B$47,$A24) + COUNTIF(Gochujang!$B$8:$B$47,$A24) + COUNTIF(Pepper!$B$8:$B$47,$A24) + COUNTIF(Nati!$B$8:$B$47,$A24) + COUNTIF('Kerela Fry'!$B$8:$B$47,$A24) + COUNTIF(Mughlai!$B$8:$B$47,$A24) + COUNTIF(Masala!$B$8:$B$47,$A24)</f>
        <v>0</v>
      </c>
    </row>
    <row r="25" customFormat="false" ht="15" hidden="false" customHeight="false" outlineLevel="0" collapsed="false">
      <c r="A25" s="34" t="s">
        <v>63</v>
      </c>
      <c r="C25" s="36" t="n">
        <f aca="false">COUNTIF(Teriyaki!$B$8:$B$47,$A25) + COUNTIF(Gochujang!$B$8:$B$47,$A25) + COUNTIF(Pepper!$B$8:$B$47,$A25) + COUNTIF(Nati!$B$8:$B$47,$A25) + COUNTIF('Kerela Fry'!$B$8:$B$47,$A25) + COUNTIF(Mughlai!$B$8:$B$47,$A25) + COUNTIF(Masala!$B$8:$B$47,$A25)</f>
        <v>1</v>
      </c>
    </row>
    <row r="26" customFormat="false" ht="15" hidden="false" customHeight="false" outlineLevel="0" collapsed="false">
      <c r="A26" s="34" t="s">
        <v>82</v>
      </c>
      <c r="C26" s="36" t="n">
        <f aca="false">COUNTIF(Teriyaki!$B$8:$B$47,$A26) + COUNTIF(Gochujang!$B$8:$B$47,$A26) + COUNTIF(Pepper!$B$8:$B$47,$A26) + COUNTIF(Nati!$B$8:$B$47,$A26) + COUNTIF('Kerela Fry'!$B$8:$B$47,$A26) + COUNTIF(Mughlai!$B$8:$B$47,$A26) + COUNTIF(Masala!$B$8:$B$47,$A26)</f>
        <v>0</v>
      </c>
    </row>
    <row r="27" customFormat="false" ht="15" hidden="false" customHeight="false" outlineLevel="0" collapsed="false">
      <c r="A27" s="34" t="s">
        <v>66</v>
      </c>
      <c r="C27" s="36" t="n">
        <f aca="false">COUNTIF(Teriyaki!$B$8:$B$47,$A27) + COUNTIF(Gochujang!$B$8:$B$47,$A27) + COUNTIF(Pepper!$B$8:$B$47,$A27) + COUNTIF(Nati!$B$8:$B$47,$A27) + COUNTIF('Kerela Fry'!$B$8:$B$47,$A27) + COUNTIF(Mughlai!$B$8:$B$47,$A27) + COUNTIF(Masala!$B$8:$B$47,$A27)</f>
        <v>1</v>
      </c>
    </row>
    <row r="28" customFormat="false" ht="15" hidden="false" customHeight="false" outlineLevel="0" collapsed="false">
      <c r="A28" s="34" t="s">
        <v>120</v>
      </c>
      <c r="C28" s="36" t="n">
        <f aca="false">COUNTIF(Teriyaki!$B$8:$B$47,$A28) + COUNTIF(Gochujang!$B$8:$B$47,$A28) + COUNTIF(Pepper!$B$8:$B$47,$A28) + COUNTIF(Nati!$B$8:$B$47,$A28) + COUNTIF('Kerela Fry'!$B$8:$B$47,$A28) + COUNTIF(Mughlai!$B$8:$B$47,$A28) + COUNTIF(Masala!$B$8:$B$47,$A28)</f>
        <v>0</v>
      </c>
    </row>
    <row r="29" customFormat="false" ht="15" hidden="false" customHeight="false" outlineLevel="0" collapsed="false">
      <c r="A29" s="34" t="s">
        <v>76</v>
      </c>
      <c r="C29" s="36" t="n">
        <f aca="false">COUNTIF(Teriyaki!$B$8:$B$47,$A29) + COUNTIF(Gochujang!$B$8:$B$47,$A29) + COUNTIF(Pepper!$B$8:$B$47,$A29) + COUNTIF(Nati!$B$8:$B$47,$A29) + COUNTIF('Kerela Fry'!$B$8:$B$47,$A29) + COUNTIF(Mughlai!$B$8:$B$47,$A29) + COUNTIF(Masala!$B$8:$B$47,$A29)</f>
        <v>1</v>
      </c>
    </row>
    <row r="30" customFormat="false" ht="15" hidden="false" customHeight="false" outlineLevel="0" collapsed="false">
      <c r="A30" s="34" t="s">
        <v>121</v>
      </c>
      <c r="C30" s="36" t="n">
        <f aca="false">COUNTIF(Teriyaki!$B$8:$B$47,$A30) + COUNTIF(Gochujang!$B$8:$B$47,$A30) + COUNTIF(Pepper!$B$8:$B$47,$A30) + COUNTIF(Nati!$B$8:$B$47,$A30) + COUNTIF('Kerela Fry'!$B$8:$B$47,$A30) + COUNTIF(Mughlai!$B$8:$B$47,$A30) + COUNTIF(Masala!$B$8:$B$47,$A30)</f>
        <v>0</v>
      </c>
    </row>
    <row r="31" customFormat="false" ht="15" hidden="false" customHeight="false" outlineLevel="0" collapsed="false">
      <c r="A31" s="34" t="s">
        <v>122</v>
      </c>
      <c r="C31" s="36" t="n">
        <f aca="false">COUNTIF(Teriyaki!$B$8:$B$47,$A31) + COUNTIF(Gochujang!$B$8:$B$47,$A31) + COUNTIF(Pepper!$B$8:$B$47,$A31) + COUNTIF(Nati!$B$8:$B$47,$A31) + COUNTIF('Kerela Fry'!$B$8:$B$47,$A31) + COUNTIF(Mughlai!$B$8:$B$47,$A31) + COUNTIF(Masala!$B$8:$B$47,$A31)</f>
        <v>0</v>
      </c>
    </row>
    <row r="32" customFormat="false" ht="15" hidden="false" customHeight="false" outlineLevel="0" collapsed="false">
      <c r="A32" s="34" t="s">
        <v>123</v>
      </c>
      <c r="C32" s="36" t="n">
        <f aca="false">COUNTIF(Teriyaki!$B$8:$B$47,$A32) + COUNTIF(Gochujang!$B$8:$B$47,$A32) + COUNTIF(Pepper!$B$8:$B$47,$A32) + COUNTIF(Nati!$B$8:$B$47,$A32) + COUNTIF('Kerela Fry'!$B$8:$B$47,$A32) + COUNTIF(Mughlai!$B$8:$B$47,$A32) + COUNTIF(Masala!$B$8:$B$47,$A32)</f>
        <v>0</v>
      </c>
    </row>
    <row r="33" customFormat="false" ht="15" hidden="false" customHeight="false" outlineLevel="0" collapsed="false">
      <c r="A33" s="34" t="s">
        <v>124</v>
      </c>
      <c r="C33" s="36" t="n">
        <f aca="false">COUNTIF(Teriyaki!$B$8:$B$47,$A33) + COUNTIF(Gochujang!$B$8:$B$47,$A33) + COUNTIF(Pepper!$B$8:$B$47,$A33) + COUNTIF(Nati!$B$8:$B$47,$A33) + COUNTIF('Kerela Fry'!$B$8:$B$47,$A33) + COUNTIF(Mughlai!$B$8:$B$47,$A33) + COUNTIF(Masala!$B$8:$B$47,$A33)</f>
        <v>0</v>
      </c>
    </row>
    <row r="34" customFormat="false" ht="15" hidden="false" customHeight="false" outlineLevel="0" collapsed="false">
      <c r="A34" s="34" t="s">
        <v>70</v>
      </c>
      <c r="C34" s="36" t="n">
        <f aca="false">COUNTIF(Teriyaki!$B$8:$B$47,$A34) + COUNTIF(Gochujang!$B$8:$B$47,$A34) + COUNTIF(Pepper!$B$8:$B$47,$A34) + COUNTIF(Nati!$B$8:$B$47,$A34) + COUNTIF('Kerela Fry'!$B$8:$B$47,$A34) + COUNTIF(Mughlai!$B$8:$B$47,$A34) + COUNTIF(Masala!$B$8:$B$47,$A34)</f>
        <v>1</v>
      </c>
    </row>
    <row r="35" customFormat="false" ht="15" hidden="false" customHeight="false" outlineLevel="0" collapsed="false">
      <c r="A35" s="34" t="s">
        <v>125</v>
      </c>
      <c r="C35" s="36" t="n">
        <f aca="false">COUNTIF(Teriyaki!$B$8:$B$47,$A35) + COUNTIF(Gochujang!$B$8:$B$47,$A35) + COUNTIF(Pepper!$B$8:$B$47,$A35) + COUNTIF(Nati!$B$8:$B$47,$A35) + COUNTIF('Kerela Fry'!$B$8:$B$47,$A35) + COUNTIF(Mughlai!$B$8:$B$47,$A35) + COUNTIF(Masala!$B$8:$B$47,$A35)</f>
        <v>0</v>
      </c>
    </row>
    <row r="36" customFormat="false" ht="15" hidden="false" customHeight="false" outlineLevel="0" collapsed="false">
      <c r="A36" s="34" t="s">
        <v>126</v>
      </c>
      <c r="C36" s="36" t="n">
        <f aca="false">COUNTIF(Teriyaki!$B$8:$B$47,$A36) + COUNTIF(Gochujang!$B$8:$B$47,$A36) + COUNTIF(Pepper!$B$8:$B$47,$A36) + COUNTIF(Nati!$B$8:$B$47,$A36) + COUNTIF('Kerela Fry'!$B$8:$B$47,$A36) + COUNTIF(Mughlai!$B$8:$B$47,$A36) + COUNTIF(Masala!$B$8:$B$47,$A36)</f>
        <v>0</v>
      </c>
    </row>
    <row r="37" customFormat="false" ht="15" hidden="false" customHeight="false" outlineLevel="0" collapsed="false">
      <c r="A37" s="34" t="s">
        <v>83</v>
      </c>
      <c r="C37" s="36" t="n">
        <f aca="false">COUNTIF(Teriyaki!$B$8:$B$47,$A37) + COUNTIF(Gochujang!$B$8:$B$47,$A37) + COUNTIF(Pepper!$B$8:$B$47,$A37) + COUNTIF(Nati!$B$8:$B$47,$A37) + COUNTIF('Kerela Fry'!$B$8:$B$47,$A37) + COUNTIF(Mughlai!$B$8:$B$47,$A37) + COUNTIF(Masala!$B$8:$B$47,$A37)</f>
        <v>6</v>
      </c>
    </row>
    <row r="38" customFormat="false" ht="15" hidden="false" customHeight="false" outlineLevel="0" collapsed="false">
      <c r="A38" s="34" t="s">
        <v>127</v>
      </c>
      <c r="C38" s="36" t="n">
        <f aca="false">COUNTIF(Teriyaki!$B$8:$B$47,$A38) + COUNTIF(Gochujang!$B$8:$B$47,$A38) + COUNTIF(Pepper!$B$8:$B$47,$A38) + COUNTIF(Nati!$B$8:$B$47,$A38) + COUNTIF('Kerela Fry'!$B$8:$B$47,$A38) + COUNTIF(Mughlai!$B$8:$B$47,$A38) + COUNTIF(Masala!$B$8:$B$47,$A38)</f>
        <v>0</v>
      </c>
    </row>
    <row r="39" customFormat="false" ht="15" hidden="false" customHeight="false" outlineLevel="0" collapsed="false">
      <c r="A39" s="34" t="s">
        <v>67</v>
      </c>
      <c r="C39" s="36" t="n">
        <f aca="false">COUNTIF(Teriyaki!$B$8:$B$47,$A39) + COUNTIF(Gochujang!$B$8:$B$47,$A39) + COUNTIF(Pepper!$B$8:$B$47,$A39) + COUNTIF(Nati!$B$8:$B$47,$A39) + COUNTIF('Kerela Fry'!$B$8:$B$47,$A39) + COUNTIF(Mughlai!$B$8:$B$47,$A39) + COUNTIF(Masala!$B$8:$B$47,$A39)</f>
        <v>1</v>
      </c>
    </row>
    <row r="40" customFormat="false" ht="15" hidden="false" customHeight="false" outlineLevel="0" collapsed="false">
      <c r="A40" s="34" t="s">
        <v>68</v>
      </c>
      <c r="C40" s="36" t="n">
        <f aca="false">COUNTIF(Teriyaki!$B$8:$B$47,$A40) + COUNTIF(Gochujang!$B$8:$B$47,$A40) + COUNTIF(Pepper!$B$8:$B$47,$A40) + COUNTIF(Nati!$B$8:$B$47,$A40) + COUNTIF('Kerela Fry'!$B$8:$B$47,$A40) + COUNTIF(Mughlai!$B$8:$B$47,$A40) + COUNTIF(Masala!$B$8:$B$47,$A40)</f>
        <v>1</v>
      </c>
    </row>
    <row r="41" customFormat="false" ht="15" hidden="false" customHeight="false" outlineLevel="0" collapsed="false">
      <c r="A41" s="34" t="s">
        <v>62</v>
      </c>
      <c r="C41" s="36" t="n">
        <f aca="false">COUNTIF(Teriyaki!$B$8:$B$47,$A41) + COUNTIF(Gochujang!$B$8:$B$47,$A41) + COUNTIF(Pepper!$B$8:$B$47,$A41) + COUNTIF(Nati!$B$8:$B$47,$A41) + COUNTIF('Kerela Fry'!$B$8:$B$47,$A41) + COUNTIF(Mughlai!$B$8:$B$47,$A41) + COUNTIF(Masala!$B$8:$B$47,$A41)</f>
        <v>1</v>
      </c>
    </row>
    <row r="42" customFormat="false" ht="15" hidden="false" customHeight="false" outlineLevel="0" collapsed="false">
      <c r="A42" s="34" t="s">
        <v>128</v>
      </c>
      <c r="C42" s="36" t="n">
        <f aca="false">COUNTIF(Teriyaki!$B$8:$B$47,$A42) + COUNTIF(Gochujang!$B$8:$B$47,$A42) + COUNTIF(Pepper!$B$8:$B$47,$A42) + COUNTIF(Nati!$B$8:$B$47,$A42) + COUNTIF('Kerela Fry'!$B$8:$B$47,$A42) + COUNTIF(Mughlai!$B$8:$B$47,$A42) + COUNTIF(Masala!$B$8:$B$47,$A42)</f>
        <v>0</v>
      </c>
    </row>
    <row r="43" customFormat="false" ht="15" hidden="false" customHeight="false" outlineLevel="0" collapsed="false">
      <c r="A43" s="34" t="s">
        <v>64</v>
      </c>
      <c r="C43" s="36" t="n">
        <f aca="false">COUNTIF(Teriyaki!$B$8:$B$47,$A43) + COUNTIF(Gochujang!$B$8:$B$47,$A43) + COUNTIF(Pepper!$B$8:$B$47,$A43) + COUNTIF(Nati!$B$8:$B$47,$A43) + COUNTIF('Kerela Fry'!$B$8:$B$47,$A43) + COUNTIF(Mughlai!$B$8:$B$47,$A43) + COUNTIF(Masala!$B$8:$B$47,$A43)</f>
        <v>1</v>
      </c>
    </row>
    <row r="44" customFormat="false" ht="15" hidden="false" customHeight="false" outlineLevel="0" collapsed="false">
      <c r="A44" s="34" t="s">
        <v>61</v>
      </c>
      <c r="C44" s="36" t="n">
        <f aca="false">COUNTIF(Teriyaki!$B$8:$B$47,$A44) + COUNTIF(Gochujang!$B$8:$B$47,$A44) + COUNTIF(Pepper!$B$8:$B$47,$A44) + COUNTIF(Nati!$B$8:$B$47,$A44) + COUNTIF('Kerela Fry'!$B$8:$B$47,$A44) + COUNTIF(Mughlai!$B$8:$B$47,$A44) + COUNTIF(Masala!$B$8:$B$47,$A44)</f>
        <v>1</v>
      </c>
    </row>
    <row r="45" customFormat="false" ht="15" hidden="false" customHeight="false" outlineLevel="0" collapsed="false">
      <c r="A45" s="34" t="s">
        <v>129</v>
      </c>
      <c r="C45" s="36" t="n">
        <f aca="false">COUNTIF(Teriyaki!$B$8:$B$47,$A45) + COUNTIF(Gochujang!$B$8:$B$47,$A45) + COUNTIF(Pepper!$B$8:$B$47,$A45) + COUNTIF(Nati!$B$8:$B$47,$A45) + COUNTIF('Kerela Fry'!$B$8:$B$47,$A45) + COUNTIF(Mughlai!$B$8:$B$47,$A45) + COUNTIF(Masala!$B$8:$B$47,$A45)</f>
        <v>0</v>
      </c>
    </row>
    <row r="46" customFormat="false" ht="15" hidden="false" customHeight="false" outlineLevel="0" collapsed="false">
      <c r="A46" s="34" t="s">
        <v>69</v>
      </c>
      <c r="C46" s="36" t="n">
        <f aca="false">COUNTIF(Teriyaki!$B$8:$B$47,$A46) + COUNTIF(Gochujang!$B$8:$B$47,$A46) + COUNTIF(Pepper!$B$8:$B$47,$A46) + COUNTIF(Nati!$B$8:$B$47,$A46) + COUNTIF('Kerela Fry'!$B$8:$B$47,$A46) + COUNTIF(Mughlai!$B$8:$B$47,$A46) + COUNTIF(Masala!$B$8:$B$47,$A46)</f>
        <v>1</v>
      </c>
    </row>
    <row r="47" customFormat="false" ht="15" hidden="false" customHeight="false" outlineLevel="0" collapsed="false">
      <c r="A47" s="34" t="s">
        <v>130</v>
      </c>
      <c r="C47" s="36" t="n">
        <f aca="false">COUNTIF(Teriyaki!$B$8:$B$47,$A47) + COUNTIF(Gochujang!$B$8:$B$47,$A47) + COUNTIF(Pepper!$B$8:$B$47,$A47) + COUNTIF(Nati!$B$8:$B$47,$A47) + COUNTIF('Kerela Fry'!$B$8:$B$47,$A47) + COUNTIF(Mughlai!$B$8:$B$47,$A47) + COUNTIF(Masala!$B$8:$B$47,$A47)</f>
        <v>0</v>
      </c>
    </row>
    <row r="48" customFormat="false" ht="15" hidden="false" customHeight="false" outlineLevel="0" collapsed="false">
      <c r="A48" s="34" t="s">
        <v>131</v>
      </c>
      <c r="C48" s="36" t="n">
        <f aca="false">COUNTIF(Teriyaki!$B$8:$B$47,$A48) + COUNTIF(Gochujang!$B$8:$B$47,$A48) + COUNTIF(Pepper!$B$8:$B$47,$A48) + COUNTIF(Nati!$B$8:$B$47,$A48) + COUNTIF('Kerela Fry'!$B$8:$B$47,$A48) + COUNTIF(Mughlai!$B$8:$B$47,$A48) + COUNTIF(Masala!$B$8:$B$47,$A48)</f>
        <v>0</v>
      </c>
    </row>
    <row r="49" customFormat="false" ht="15" hidden="false" customHeight="false" outlineLevel="0" collapsed="false">
      <c r="A49" s="34" t="s">
        <v>65</v>
      </c>
      <c r="C49" s="36" t="n">
        <f aca="false">COUNTIF(Teriyaki!$B$8:$B$47,$A49) + COUNTIF(Gochujang!$B$8:$B$47,$A49) + COUNTIF(Pepper!$B$8:$B$47,$A49) + COUNTIF(Nati!$B$8:$B$47,$A49) + COUNTIF('Kerela Fry'!$B$8:$B$47,$A49) + COUNTIF(Mughlai!$B$8:$B$47,$A49) + COUNTIF(Masala!$B$8:$B$47,$A49)</f>
        <v>1</v>
      </c>
    </row>
    <row r="50" customFormat="false" ht="15" hidden="false" customHeight="false" outlineLevel="0" collapsed="false">
      <c r="A50" s="34" t="s">
        <v>73</v>
      </c>
      <c r="C50" s="36" t="n">
        <f aca="false">COUNTIF(Teriyaki!$B$8:$B$47,$A50) + COUNTIF(Gochujang!$B$8:$B$47,$A50) + COUNTIF(Pepper!$B$8:$B$47,$A50) + COUNTIF(Nati!$B$8:$B$47,$A50) + COUNTIF('Kerela Fry'!$B$8:$B$47,$A50) + COUNTIF(Mughlai!$B$8:$B$47,$A50) + COUNTIF(Masala!$B$8:$B$47,$A50)</f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2026-08-25T08:33:46Z</dcterms:created>
  <dc:creator>openpyxl</dc:creator>
  <dc:description/>
  <dc:language>en-US</dc:language>
  <cp:lastModifiedBy/>
  <dcterms:modified xsi:type="dcterms:W3CDTF">2026-08-25T08:33:46Z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